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HSLBC File\ENROLLMENT ANALYSIS 2021-2025\"/>
    </mc:Choice>
  </mc:AlternateContent>
  <xr:revisionPtr revIDLastSave="0" documentId="13_ncr:1_{A0FC398F-5293-44A4-9900-945B6B171965}" xr6:coauthVersionLast="47" xr6:coauthVersionMax="47" xr10:uidLastSave="{00000000-0000-0000-0000-000000000000}"/>
  <bookViews>
    <workbookView xWindow="-108" yWindow="-108" windowWidth="23256" windowHeight="12456" firstSheet="1" activeTab="1" xr2:uid="{7A0D0EB5-5B96-454E-8384-6D6FB5309A94}"/>
  </bookViews>
  <sheets>
    <sheet name="Analysis" sheetId="1" state="hidden" r:id="rId1"/>
    <sheet name="DASHBOARD" sheetId="2" r:id="rId2"/>
  </sheet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STERLIST_1f71a680-c3ea-4854-beb4-69b4de06c11e" name="MASTERLIST" connection="Query - MASTERLIS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7" i="1" l="1"/>
  <c r="AK8" i="1"/>
  <c r="AK9" i="1"/>
  <c r="AK6" i="1"/>
  <c r="AJ7" i="1"/>
  <c r="AJ8" i="1"/>
  <c r="AJ9" i="1"/>
  <c r="AJ6" i="1"/>
  <c r="AH11" i="1"/>
  <c r="AA12" i="1"/>
  <c r="AB7" i="1" s="1"/>
  <c r="C13" i="1"/>
  <c r="B13" i="1"/>
  <c r="BB11" i="1"/>
  <c r="BC9" i="1" s="1"/>
  <c r="BD9" i="1" s="1"/>
  <c r="AQ16" i="1"/>
  <c r="AR16" i="1"/>
  <c r="AS16" i="1"/>
  <c r="AT16" i="1"/>
  <c r="AP16" i="1"/>
  <c r="AQ18" i="1"/>
  <c r="AR18" i="1"/>
  <c r="AS18" i="1"/>
  <c r="AT18" i="1"/>
  <c r="AP18" i="1"/>
  <c r="AQ19" i="1"/>
  <c r="AR19" i="1"/>
  <c r="AS19" i="1"/>
  <c r="AT19" i="1"/>
  <c r="AP19" i="1"/>
  <c r="AP15" i="1"/>
  <c r="AP20" i="1"/>
  <c r="AP17" i="1"/>
  <c r="AQ17" i="1"/>
  <c r="AR17" i="1"/>
  <c r="AS17" i="1"/>
  <c r="AT17" i="1"/>
  <c r="AQ15" i="1"/>
  <c r="AR15" i="1"/>
  <c r="AS15" i="1"/>
  <c r="AT15" i="1"/>
  <c r="AR13" i="1"/>
  <c r="AS13" i="1"/>
  <c r="AT13" i="1"/>
  <c r="AQ13" i="1"/>
  <c r="D7" i="1"/>
  <c r="E7" i="1" s="1"/>
  <c r="D8" i="1"/>
  <c r="E8" i="1" s="1"/>
  <c r="D9" i="1"/>
  <c r="E9" i="1" s="1"/>
  <c r="D6" i="1"/>
  <c r="E6" i="1" s="1"/>
  <c r="C10" i="1"/>
  <c r="P5" i="1"/>
  <c r="O5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6" i="1"/>
  <c r="T7" i="1"/>
  <c r="T8" i="1"/>
  <c r="U9" i="1"/>
  <c r="T10" i="1"/>
  <c r="U11" i="1"/>
  <c r="T12" i="1"/>
  <c r="U13" i="1"/>
  <c r="T14" i="1"/>
  <c r="U15" i="1"/>
  <c r="U16" i="1"/>
  <c r="T17" i="1"/>
  <c r="T18" i="1"/>
  <c r="U19" i="1"/>
  <c r="U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6" i="1"/>
  <c r="Q7" i="1"/>
  <c r="R7" i="1"/>
  <c r="U7" i="1" s="1"/>
  <c r="Q8" i="1"/>
  <c r="R8" i="1"/>
  <c r="U8" i="1" s="1"/>
  <c r="Q9" i="1"/>
  <c r="T9" i="1" s="1"/>
  <c r="R9" i="1"/>
  <c r="Q10" i="1"/>
  <c r="R10" i="1"/>
  <c r="U10" i="1" s="1"/>
  <c r="Q11" i="1"/>
  <c r="T11" i="1" s="1"/>
  <c r="R11" i="1"/>
  <c r="Q12" i="1"/>
  <c r="R12" i="1"/>
  <c r="U12" i="1" s="1"/>
  <c r="Q13" i="1"/>
  <c r="T13" i="1" s="1"/>
  <c r="R13" i="1"/>
  <c r="Q14" i="1"/>
  <c r="R14" i="1"/>
  <c r="U14" i="1" s="1"/>
  <c r="Q15" i="1"/>
  <c r="T15" i="1" s="1"/>
  <c r="R15" i="1"/>
  <c r="Q16" i="1"/>
  <c r="T16" i="1" s="1"/>
  <c r="R16" i="1"/>
  <c r="Q17" i="1"/>
  <c r="R17" i="1"/>
  <c r="U17" i="1" s="1"/>
  <c r="Q18" i="1"/>
  <c r="R18" i="1"/>
  <c r="U18" i="1" s="1"/>
  <c r="Q19" i="1"/>
  <c r="T19" i="1" s="1"/>
  <c r="R19" i="1"/>
  <c r="R6" i="1"/>
  <c r="Q6" i="1"/>
  <c r="T6" i="1" s="1"/>
  <c r="AB6" i="1" l="1"/>
  <c r="AB10" i="1"/>
  <c r="AB9" i="1"/>
  <c r="AB8" i="1"/>
  <c r="BC8" i="1"/>
  <c r="BD8" i="1" s="1"/>
  <c r="BC7" i="1"/>
  <c r="BD7" i="1" s="1"/>
  <c r="BC6" i="1"/>
  <c r="BD6" i="1" s="1"/>
  <c r="BC10" i="1"/>
  <c r="BD10" i="1" s="1"/>
  <c r="AU13" i="1"/>
  <c r="AQ12" i="1" s="1"/>
  <c r="AQ20" i="1" s="1"/>
  <c r="AR12" i="1" l="1"/>
  <c r="AR20" i="1" s="1"/>
  <c r="AT12" i="1"/>
  <c r="AT20" i="1" s="1"/>
  <c r="AS12" i="1"/>
  <c r="AS2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1FBDE4-D97E-4376-81EE-456CD44549B5}" name="Query - MASTERLIST" description="Connection to the 'MASTERLIST' query in the workbook." type="100" refreshedVersion="8" minRefreshableVersion="5">
    <extLst>
      <ext xmlns:x15="http://schemas.microsoft.com/office/spreadsheetml/2010/11/main" uri="{DE250136-89BD-433C-8126-D09CA5730AF9}">
        <x15:connection id="1798e518-f025-41dc-b028-7e7264ece3be"/>
      </ext>
    </extLst>
  </connection>
  <connection id="2" xr16:uid="{A30BD6A3-01C0-4983-825E-DF158F446A2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MASTERLIST].[YEAR].&amp;[2025]}"/>
    <s v="{[MASTERLIST].[Exclude_Flag].&amp;[0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<sst xmlns="http://schemas.openxmlformats.org/spreadsheetml/2006/main" count="83" uniqueCount="72">
  <si>
    <t>GRADE-I</t>
  </si>
  <si>
    <t>GRADE-II</t>
  </si>
  <si>
    <t>GRADE-III</t>
  </si>
  <si>
    <t>GRADE-IV</t>
  </si>
  <si>
    <t>GRADE-IX</t>
  </si>
  <si>
    <t>GRADE-V</t>
  </si>
  <si>
    <t>GRADE-VI</t>
  </si>
  <si>
    <t>GRADE-VII</t>
  </si>
  <si>
    <t>GRADE-VIII</t>
  </si>
  <si>
    <t>GRADE-X</t>
  </si>
  <si>
    <t>GRADE-XI</t>
  </si>
  <si>
    <t>GRADE-XII</t>
  </si>
  <si>
    <t>KINDER-I</t>
  </si>
  <si>
    <t>KINDER-II</t>
  </si>
  <si>
    <t>Count of STUDENT NAME</t>
  </si>
  <si>
    <t>YEAR</t>
  </si>
  <si>
    <t>Student Count Per Year</t>
  </si>
  <si>
    <t>LEVEL</t>
  </si>
  <si>
    <t>Diff+</t>
  </si>
  <si>
    <t>diff -</t>
  </si>
  <si>
    <t>Max</t>
  </si>
  <si>
    <t>Data Label +</t>
  </si>
  <si>
    <t>Data Label -</t>
  </si>
  <si>
    <t>Level</t>
  </si>
  <si>
    <t>K-I</t>
  </si>
  <si>
    <t>G-1</t>
  </si>
  <si>
    <t>G-2</t>
  </si>
  <si>
    <t>G-3</t>
  </si>
  <si>
    <t>G-4</t>
  </si>
  <si>
    <t>G-5</t>
  </si>
  <si>
    <t>G-6</t>
  </si>
  <si>
    <t>G-7</t>
  </si>
  <si>
    <t>G-8</t>
  </si>
  <si>
    <t>G-9</t>
  </si>
  <si>
    <t>G-10</t>
  </si>
  <si>
    <t>G-11</t>
  </si>
  <si>
    <t>G-12</t>
  </si>
  <si>
    <t>STUDENT NAME</t>
  </si>
  <si>
    <t>Label</t>
  </si>
  <si>
    <t>diff 2022-2025</t>
  </si>
  <si>
    <t>REG</t>
  </si>
  <si>
    <t>TLC</t>
  </si>
  <si>
    <t>ESC</t>
  </si>
  <si>
    <t>QVR</t>
  </si>
  <si>
    <t>New_Student</t>
  </si>
  <si>
    <t>Enroll Count</t>
  </si>
  <si>
    <t>Old_Student</t>
  </si>
  <si>
    <t>New Student Vs Old Student</t>
  </si>
  <si>
    <t>SCHOLAR</t>
  </si>
  <si>
    <t>SCHOLARSHIP TYPE</t>
  </si>
  <si>
    <t>Total</t>
  </si>
  <si>
    <t>category</t>
  </si>
  <si>
    <t>ELEMENTARY</t>
  </si>
  <si>
    <t>HIGH SCHOOL</t>
  </si>
  <si>
    <t>KINDER</t>
  </si>
  <si>
    <t>SENIOR HIGH SCHOOL</t>
  </si>
  <si>
    <t>%</t>
  </si>
  <si>
    <t>STRAND</t>
  </si>
  <si>
    <t>ABM</t>
  </si>
  <si>
    <t>HES</t>
  </si>
  <si>
    <t>HUMSS</t>
  </si>
  <si>
    <t>ICT</t>
  </si>
  <si>
    <t>STEM</t>
  </si>
  <si>
    <t>2025</t>
  </si>
  <si>
    <t>2025 STAND DISTRIBUTION</t>
  </si>
  <si>
    <t>2024-2025 student comparizon</t>
  </si>
  <si>
    <t>Distinct Count of STUDENT NAME</t>
  </si>
  <si>
    <t>Times_Enrolled</t>
  </si>
  <si>
    <t>Exclude_Flag</t>
  </si>
  <si>
    <t>0</t>
  </si>
  <si>
    <t>Context: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</si>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</sst>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9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pivotButton="1"/>
    <xf numFmtId="0" fontId="0" fillId="2" borderId="0" xfId="0" applyFill="1"/>
    <xf numFmtId="9" fontId="0" fillId="0" borderId="0" xfId="1" applyFont="1"/>
    <xf numFmtId="0" fontId="4" fillId="0" borderId="0" xfId="0" applyFont="1"/>
    <xf numFmtId="9" fontId="5" fillId="0" borderId="0" xfId="0" applyNumberFormat="1" applyFont="1"/>
    <xf numFmtId="0" fontId="0" fillId="3" borderId="0" xfId="0" applyFill="1"/>
    <xf numFmtId="0" fontId="2" fillId="4" borderId="0" xfId="0" applyFont="1" applyFill="1"/>
    <xf numFmtId="0" fontId="3" fillId="4" borderId="0" xfId="0" applyFont="1" applyFill="1"/>
    <xf numFmtId="0" fontId="0" fillId="0" borderId="1" xfId="0" applyBorder="1"/>
    <xf numFmtId="9" fontId="0" fillId="0" borderId="1" xfId="1" applyFont="1" applyBorder="1"/>
    <xf numFmtId="0" fontId="0" fillId="0" borderId="5" xfId="0" applyBorder="1"/>
    <xf numFmtId="9" fontId="0" fillId="0" borderId="6" xfId="1" applyFont="1" applyBorder="1"/>
    <xf numFmtId="0" fontId="0" fillId="0" borderId="7" xfId="0" applyBorder="1"/>
    <xf numFmtId="0" fontId="0" fillId="0" borderId="8" xfId="0" applyBorder="1"/>
    <xf numFmtId="9" fontId="0" fillId="0" borderId="8" xfId="1" applyFont="1" applyBorder="1"/>
    <xf numFmtId="9" fontId="0" fillId="0" borderId="9" xfId="1" applyFont="1" applyBorder="1"/>
    <xf numFmtId="0" fontId="0" fillId="0" borderId="11" xfId="0" applyBorder="1"/>
    <xf numFmtId="0" fontId="0" fillId="0" borderId="12" xfId="0" applyBorder="1"/>
    <xf numFmtId="0" fontId="7" fillId="5" borderId="3" xfId="0" applyFont="1" applyFill="1" applyBorder="1"/>
    <xf numFmtId="0" fontId="7" fillId="5" borderId="10" xfId="0" applyFont="1" applyFill="1" applyBorder="1"/>
    <xf numFmtId="0" fontId="7" fillId="5" borderId="4" xfId="0" applyFont="1" applyFill="1" applyBorder="1"/>
    <xf numFmtId="9" fontId="8" fillId="0" borderId="0" xfId="1" applyFont="1"/>
    <xf numFmtId="9" fontId="9" fillId="0" borderId="0" xfId="1" applyFont="1"/>
    <xf numFmtId="164" fontId="0" fillId="0" borderId="0" xfId="0" applyNumberFormat="1"/>
    <xf numFmtId="164" fontId="9" fillId="0" borderId="0" xfId="1" applyNumberFormat="1" applyFont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3" fillId="4" borderId="13" xfId="0" applyFont="1" applyFill="1" applyBorder="1"/>
    <xf numFmtId="0" fontId="3" fillId="4" borderId="23" xfId="0" applyFont="1" applyFill="1" applyBorder="1"/>
    <xf numFmtId="0" fontId="3" fillId="4" borderId="24" xfId="0" applyFont="1" applyFill="1" applyBorder="1"/>
    <xf numFmtId="0" fontId="3" fillId="4" borderId="25" xfId="0" applyFont="1" applyFill="1" applyBorder="1"/>
    <xf numFmtId="3" fontId="0" fillId="0" borderId="0" xfId="0" applyNumberFormat="1"/>
    <xf numFmtId="3" fontId="0" fillId="0" borderId="15" xfId="0" applyNumberFormat="1" applyBorder="1"/>
    <xf numFmtId="3" fontId="0" fillId="0" borderId="17" xfId="0" applyNumberFormat="1" applyBorder="1"/>
    <xf numFmtId="3" fontId="0" fillId="0" borderId="19" xfId="0" applyNumberFormat="1" applyBorder="1"/>
    <xf numFmtId="3" fontId="0" fillId="0" borderId="14" xfId="0" applyNumberFormat="1" applyBorder="1"/>
    <xf numFmtId="3" fontId="0" fillId="0" borderId="16" xfId="0" applyNumberFormat="1" applyBorder="1"/>
    <xf numFmtId="3" fontId="0" fillId="0" borderId="18" xfId="0" applyNumberFormat="1" applyBorder="1"/>
    <xf numFmtId="0" fontId="0" fillId="0" borderId="26" xfId="0" applyBorder="1"/>
    <xf numFmtId="0" fontId="2" fillId="4" borderId="3" xfId="0" applyFont="1" applyFill="1" applyBorder="1"/>
    <xf numFmtId="0" fontId="2" fillId="4" borderId="4" xfId="0" applyFont="1" applyFill="1" applyBorder="1"/>
    <xf numFmtId="0" fontId="0" fillId="0" borderId="6" xfId="0" applyBorder="1"/>
    <xf numFmtId="0" fontId="3" fillId="4" borderId="15" xfId="0" applyFont="1" applyFill="1" applyBorder="1"/>
    <xf numFmtId="0" fontId="0" fillId="0" borderId="14" xfId="0" pivotButton="1" applyBorder="1"/>
    <xf numFmtId="3" fontId="0" fillId="0" borderId="0" xfId="1" applyNumberFormat="1" applyFont="1"/>
    <xf numFmtId="0" fontId="2" fillId="4" borderId="2" xfId="0" applyFont="1" applyFill="1" applyBorder="1"/>
    <xf numFmtId="0" fontId="2" fillId="4" borderId="13" xfId="0" applyFont="1" applyFill="1" applyBorder="1"/>
    <xf numFmtId="0" fontId="2" fillId="4" borderId="14" xfId="0" applyFont="1" applyFill="1" applyBorder="1"/>
    <xf numFmtId="0" fontId="2" fillId="4" borderId="24" xfId="0" applyFont="1" applyFill="1" applyBorder="1"/>
    <xf numFmtId="0" fontId="3" fillId="4" borderId="16" xfId="0" applyFont="1" applyFill="1" applyBorder="1"/>
    <xf numFmtId="0" fontId="0" fillId="0" borderId="14" xfId="0" applyBorder="1"/>
    <xf numFmtId="0" fontId="0" fillId="0" borderId="17" xfId="0" applyBorder="1"/>
    <xf numFmtId="0" fontId="0" fillId="0" borderId="19" xfId="0" applyBorder="1"/>
    <xf numFmtId="0" fontId="0" fillId="0" borderId="27" xfId="0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2" fillId="4" borderId="27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63"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b/>
        <color theme="0"/>
      </font>
      <fill>
        <patternFill patternType="solid">
          <fgColor indexed="64"/>
          <bgColor theme="4" tint="-0.249977111117893"/>
        </patternFill>
      </fill>
    </dxf>
    <dxf>
      <font>
        <b/>
        <color theme="0"/>
      </font>
      <fill>
        <patternFill patternType="solid">
          <fgColor indexed="64"/>
          <bgColor theme="4" tint="-0.249977111117893"/>
        </patternFill>
      </fill>
    </dxf>
    <dxf>
      <font>
        <b/>
      </font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  <fill>
        <patternFill patternType="solid">
          <fgColor indexed="64"/>
          <bgColor theme="4" tint="-0.249977111117893"/>
        </patternFill>
      </fill>
    </dxf>
    <dxf>
      <font>
        <color theme="0"/>
      </font>
    </dxf>
    <dxf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fgColor indexed="64"/>
          <bgColor theme="4" tint="-0.249977111117893"/>
        </patternFill>
      </fill>
    </dxf>
    <dxf>
      <font>
        <color theme="0"/>
      </font>
      <fill>
        <patternFill patternType="solid">
          <fgColor indexed="64"/>
          <bgColor theme="4" tint="-0.249977111117893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  <fill>
        <patternFill patternType="solid">
          <fgColor indexed="64"/>
          <bgColor theme="4" tint="-0.249977111117893"/>
        </patternFill>
      </fill>
    </dxf>
    <dxf>
      <font>
        <color theme="0"/>
      </font>
      <fill>
        <patternFill patternType="solid">
          <fgColor indexed="64"/>
          <bgColor theme="4" tint="-0.249977111117893"/>
        </patternFill>
      </fill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  <fill>
        <patternFill patternType="solid">
          <fgColor indexed="64"/>
          <bgColor theme="4" tint="-0.249977111117893"/>
        </patternFill>
      </fill>
    </dxf>
    <dxf>
      <font>
        <color theme="0"/>
      </font>
    </dxf>
    <dxf>
      <fill>
        <patternFill patternType="solid">
          <bgColor theme="4" tint="-0.249977111117893"/>
        </patternFill>
      </fill>
    </dxf>
    <dxf>
      <font>
        <color theme="0"/>
      </font>
      <fill>
        <patternFill patternType="solid">
          <fgColor indexed="64"/>
          <bgColor theme="4" tint="-0.249977111117893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  <fill>
        <patternFill patternType="solid">
          <fgColor indexed="64"/>
          <bgColor theme="4" tint="-0.249977111117893"/>
        </patternFill>
      </fill>
    </dxf>
    <dxf>
      <font>
        <color theme="0"/>
      </font>
      <fill>
        <patternFill patternType="solid">
          <fgColor indexed="64"/>
          <bgColor theme="4" tint="-0.249977111117893"/>
        </patternFill>
      </fill>
    </dxf>
    <dxf>
      <font>
        <color theme="0"/>
      </font>
    </dxf>
    <dxf>
      <fill>
        <patternFill patternType="solid">
          <bgColor theme="4" tint="-0.249977111117893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  <fill>
        <patternFill patternType="solid">
          <fgColor indexed="64"/>
          <bgColor theme="4" tint="-0.249977111117893"/>
        </patternFill>
      </fill>
    </dxf>
    <dxf>
      <font>
        <color theme="0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colors>
    <mruColors>
      <color rgb="FFE993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5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3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analysis.xlsx]Analysis!New Student Vs Old Student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"/>
        <c:spPr>
          <a:ln w="28575" cap="rnd">
            <a:solidFill>
              <a:schemeClr val="tx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tx2">
                <a:lumMod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rgbClr val="E9937B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0191E0E-04C4-4FF4-8E76-0913F8CDE947}" type="CELLRANGE">
                  <a:rPr lang="en-US"/>
                  <a:pPr>
                    <a:defRPr sz="1000" b="1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</a:defRPr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E913141-4EB4-4A8B-9DF7-0D67A2E22494}" type="CELLRANGE">
                  <a:rPr lang="en-US"/>
                  <a:pPr>
                    <a:defRPr sz="1000" b="1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</a:defRPr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0653AF5-804E-471D-AABD-9F5F733DF66A}" type="CELLRANGE">
                  <a:rPr lang="en-US"/>
                  <a:pPr>
                    <a:defRPr sz="1000" b="1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</a:defRPr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1D7A8FE-9DD3-438F-9508-117BAC202EE0}" type="CELLRANGE">
                  <a:rPr lang="en-US"/>
                  <a:pPr>
                    <a:defRPr sz="1000" b="1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</a:defRPr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26007425187093247"/>
          <c:w val="0.93888888888888888"/>
          <c:h val="0.432769858228688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Analysis!$AK$6:$AK$9</c:f>
              <c:strCache>
                <c:ptCount val="1"/>
                <c:pt idx="0">
                  <c:v>New_Student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E9937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1D0-4A9B-9D66-F85FE6B503C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E913141-4EB4-4A8B-9DF7-0D67A2E224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1D0-4A9B-9D66-F85FE6B503C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0653AF5-804E-471D-AABD-9F5F733DF6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1D0-4A9B-9D66-F85FE6B503C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1D7A8FE-9DD3-438F-9508-117BAC202E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1D0-4A9B-9D66-F85FE6B503C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0191E0E-04C4-4FF4-8E76-0913F8CDE9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1D0-4A9B-9D66-F85FE6B503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Analysis!$AK$6:$AK$9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Analysis!$AK$6:$AK$9</c:f>
              <c:numCache>
                <c:formatCode>#,##0</c:formatCode>
                <c:ptCount val="4"/>
                <c:pt idx="0">
                  <c:v>316</c:v>
                </c:pt>
                <c:pt idx="1">
                  <c:v>211</c:v>
                </c:pt>
                <c:pt idx="2">
                  <c:v>284</c:v>
                </c:pt>
                <c:pt idx="3">
                  <c:v>227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Analysis!$AK$6:$AK$9</c15:f>
                <c15:dlblRangeCache>
                  <c:ptCount val="4"/>
                  <c:pt idx="0">
                    <c:v>30%-316</c:v>
                  </c:pt>
                  <c:pt idx="1">
                    <c:v>20%-211</c:v>
                  </c:pt>
                  <c:pt idx="2">
                    <c:v>27%-284</c:v>
                  </c:pt>
                  <c:pt idx="3">
                    <c:v>22%-227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921-4C57-908B-B746A291D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929671392"/>
        <c:axId val="929669952"/>
      </c:barChart>
      <c:lineChart>
        <c:grouping val="standard"/>
        <c:varyColors val="0"/>
        <c:ser>
          <c:idx val="1"/>
          <c:order val="1"/>
          <c:tx>
            <c:strRef>
              <c:f>Analysis!$AK$6:$AK$9</c:f>
              <c:strCache>
                <c:ptCount val="1"/>
                <c:pt idx="0">
                  <c:v>Old_Student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Analysis!$AK$6:$AK$9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Analysis!$AK$6:$AK$9</c:f>
              <c:numCache>
                <c:formatCode>#,##0</c:formatCode>
                <c:ptCount val="4"/>
                <c:pt idx="0">
                  <c:v>428</c:v>
                </c:pt>
                <c:pt idx="1">
                  <c:v>491</c:v>
                </c:pt>
                <c:pt idx="2">
                  <c:v>427</c:v>
                </c:pt>
                <c:pt idx="3">
                  <c:v>517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921-4C57-908B-B746A291D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671392"/>
        <c:axId val="929669952"/>
      </c:lineChart>
      <c:catAx>
        <c:axId val="92967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669952"/>
        <c:crosses val="autoZero"/>
        <c:auto val="1"/>
        <c:lblAlgn val="ctr"/>
        <c:lblOffset val="100"/>
        <c:noMultiLvlLbl val="0"/>
      </c:catAx>
      <c:valAx>
        <c:axId val="92966995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2967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981605424321957"/>
          <c:y val="0.83235062788868563"/>
          <c:w val="0.48036767279090115"/>
          <c:h val="9.4697632492908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analysis.xlsx]Analysis!Enroll_Count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F33CA2CC-AE7B-4116-8593-3EF9BCFF1FBD}" type="CELLRANGE">
                  <a:rPr lang="en-US"/>
                  <a:pPr>
                    <a:defRPr sz="1300" b="1">
                      <a:solidFill>
                        <a:srgbClr val="FF0000"/>
                      </a:solidFill>
                    </a:defRPr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7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96CD568-0C57-4638-8CA1-3BE1412A71C9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8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A6CB9D9-86F6-496E-B9C6-41C2D807CB5F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9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B9B8438-A311-4BB9-83BA-29EAB3ED8C04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0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29DF445-0069-4DB3-92A5-0303A0D774E0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6111111111111108E-2"/>
          <c:y val="0.15050646653947911"/>
          <c:w val="0.93888888888888888"/>
          <c:h val="0.72748545184327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Analysis!$AB$6:$AB$10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55B-4EEB-B6A6-DF21A92F8F0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33CA2CC-AE7B-4116-8593-3EF9BCFF1F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55B-4EEB-B6A6-DF21A92F8F0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96CD568-0C57-4638-8CA1-3BE1412A71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55B-4EEB-B6A6-DF21A92F8F0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A6CB9D9-86F6-496E-B9C6-41C2D807CB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55B-4EEB-B6A6-DF21A92F8F0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B9B8438-A311-4BB9-83BA-29EAB3ED8C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55B-4EEB-B6A6-DF21A92F8F0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29DF445-0069-4DB3-92A5-0303A0D774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55B-4EEB-B6A6-DF21A92F8F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Analysis!$AB$6:$AB$10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Analysis!$AB$6:$AB$10</c:f>
              <c:numCache>
                <c:formatCode>General</c:formatCode>
                <c:ptCount val="5"/>
                <c:pt idx="0">
                  <c:v>297</c:v>
                </c:pt>
                <c:pt idx="1">
                  <c:v>172</c:v>
                </c:pt>
                <c:pt idx="2">
                  <c:v>121</c:v>
                </c:pt>
                <c:pt idx="3">
                  <c:v>149</c:v>
                </c:pt>
                <c:pt idx="4">
                  <c:v>126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Analysis!$AB$6:$AB$10</c15:f>
                <c15:dlblRangeCache>
                  <c:ptCount val="5"/>
                  <c:pt idx="0">
                    <c:v>34%</c:v>
                  </c:pt>
                  <c:pt idx="1">
                    <c:v>20%</c:v>
                  </c:pt>
                  <c:pt idx="2">
                    <c:v>14%</c:v>
                  </c:pt>
                  <c:pt idx="3">
                    <c:v>17%</c:v>
                  </c:pt>
                  <c:pt idx="4">
                    <c:v>15%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F55B-4EEB-B6A6-DF21A92F8F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929690112"/>
        <c:axId val="929699712"/>
      </c:barChart>
      <c:catAx>
        <c:axId val="92969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699712"/>
        <c:crosses val="autoZero"/>
        <c:auto val="1"/>
        <c:lblAlgn val="ctr"/>
        <c:lblOffset val="100"/>
        <c:noMultiLvlLbl val="0"/>
      </c:catAx>
      <c:valAx>
        <c:axId val="9296997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969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analysis.xlsx]Analysis!Student_Count_Year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5400" cap="sq">
            <a:solidFill>
              <a:schemeClr val="tx2">
                <a:lumMod val="50000"/>
              </a:schemeClr>
            </a:solidFill>
            <a:beve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7"/>
        <c:spPr>
          <a:ln w="25400" cap="sq">
            <a:solidFill>
              <a:schemeClr val="tx2">
                <a:lumMod val="50000"/>
              </a:schemeClr>
            </a:solidFill>
            <a:bevel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fld id="{6FBEB80B-8A8D-413C-92F0-35B352F99F6D}" type="CELLRANGE">
                  <a:rPr lang="en-US"/>
                  <a:pPr>
                    <a:defRPr sz="1100">
                      <a:solidFill>
                        <a:srgbClr val="FF0000"/>
                      </a:solidFill>
                    </a:defRPr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ln w="25400" cap="sq">
            <a:solidFill>
              <a:schemeClr val="tx2">
                <a:lumMod val="50000"/>
              </a:schemeClr>
            </a:solidFill>
            <a:bevel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fld id="{B1F6D56B-7E32-4069-97FA-89B6FD68E935}" type="CELLRANGE">
                  <a:rPr lang="en-US"/>
                  <a:pPr>
                    <a:defRPr sz="1100">
                      <a:solidFill>
                        <a:srgbClr val="00B050"/>
                      </a:solidFill>
                    </a:defRPr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9"/>
        <c:spPr>
          <a:ln w="25400" cap="sq">
            <a:solidFill>
              <a:schemeClr val="tx2">
                <a:lumMod val="50000"/>
              </a:schemeClr>
            </a:solidFill>
            <a:bevel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fld id="{41BAC396-49C0-4C59-A961-1DFB5ADDE667}" type="CELLRANGE">
                  <a:rPr lang="en-US"/>
                  <a:pPr>
                    <a:defRPr sz="1100">
                      <a:solidFill>
                        <a:srgbClr val="00B050"/>
                      </a:solidFill>
                    </a:defRPr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ln w="25400" cap="sq">
            <a:solidFill>
              <a:schemeClr val="tx2">
                <a:lumMod val="50000"/>
              </a:schemeClr>
            </a:solidFill>
            <a:bevel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fld id="{49DA71F7-68BB-4E4E-BB74-E7083838D3D0}" type="CELLRANGE">
                  <a:rPr lang="en-US"/>
                  <a:pPr>
                    <a:defRPr sz="1100">
                      <a:solidFill>
                        <a:srgbClr val="00B050"/>
                      </a:solidFill>
                    </a:defRPr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ln w="25400" cap="sq">
            <a:solidFill>
              <a:schemeClr val="tx2">
                <a:lumMod val="50000"/>
              </a:schemeClr>
            </a:solidFill>
            <a:bevel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fld id="{5B65C58B-35B2-4C99-8C32-EEC1758BF1EB}" type="CELLRANGE">
                  <a:rPr lang="en-US"/>
                  <a:pPr>
                    <a:defRPr sz="1100">
                      <a:solidFill>
                        <a:srgbClr val="00B050"/>
                      </a:solidFill>
                    </a:defRPr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7349230071453534E-2"/>
          <c:y val="0.49146082310777145"/>
          <c:w val="0.90668287568869754"/>
          <c:h val="0.41691880837230366"/>
        </c:manualLayout>
      </c:layout>
      <c:lineChart>
        <c:grouping val="standard"/>
        <c:varyColors val="0"/>
        <c:ser>
          <c:idx val="0"/>
          <c:order val="0"/>
          <c:tx>
            <c:strRef>
              <c:f>Analysis!$E$5:$E$9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sq">
              <a:solidFill>
                <a:schemeClr val="tx2">
                  <a:lumMod val="50000"/>
                </a:schemeClr>
              </a:solidFill>
              <a:bevel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A159-41F4-A6F2-26B5CDE772A9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A159-41F4-A6F2-26B5CDE772A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1F6D56B-7E32-4069-97FA-89B6FD68E9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159-41F4-A6F2-26B5CDE772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1BAC396-49C0-4C59-A961-1DFB5ADDE6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159-41F4-A6F2-26B5CDE772A9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FBEB80B-8A8D-413C-92F0-35B352F99F6D}" type="CELLRANGE">
                      <a:rPr lang="en-US"/>
                      <a:pPr>
                        <a:defRPr sz="11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159-41F4-A6F2-26B5CDE772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9DA71F7-68BB-4E4E-BB74-E7083838D3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159-41F4-A6F2-26B5CDE772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B65C58B-35B2-4C99-8C32-EEC1758BF1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159-41F4-A6F2-26B5CDE772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Analysis!$E$5:$E$9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Analysis!$E$5:$E$9</c:f>
              <c:numCache>
                <c:formatCode>General</c:formatCode>
                <c:ptCount val="5"/>
                <c:pt idx="0">
                  <c:v>627</c:v>
                </c:pt>
                <c:pt idx="1">
                  <c:v>744</c:v>
                </c:pt>
                <c:pt idx="2">
                  <c:v>702</c:v>
                </c:pt>
                <c:pt idx="3">
                  <c:v>711</c:v>
                </c:pt>
                <c:pt idx="4">
                  <c:v>744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datalabelsRange>
                <c15:f>Analysis!$E$5:$E$9</c15:f>
                <c15:dlblRangeCache>
                  <c:ptCount val="5"/>
                  <c:pt idx="1">
                    <c:v>▲ 16%</c:v>
                  </c:pt>
                  <c:pt idx="2">
                    <c:v>▼ -6%</c:v>
                  </c:pt>
                  <c:pt idx="3">
                    <c:v>▲ 1%</c:v>
                  </c:pt>
                  <c:pt idx="4">
                    <c:v>▲ 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2A1-4119-934D-AAFCBB92461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7364784"/>
        <c:axId val="997364304"/>
      </c:lineChart>
      <c:catAx>
        <c:axId val="997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364304"/>
        <c:crosses val="autoZero"/>
        <c:auto val="1"/>
        <c:lblAlgn val="ctr"/>
        <c:lblOffset val="100"/>
        <c:noMultiLvlLbl val="0"/>
      </c:catAx>
      <c:valAx>
        <c:axId val="997364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7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111589144140489E-2"/>
          <c:y val="0.17947884630764646"/>
          <c:w val="0.96783625730994149"/>
          <c:h val="0.68571844031961382"/>
        </c:manualLayout>
      </c:layout>
      <c:barChart>
        <c:barDir val="col"/>
        <c:grouping val="clustered"/>
        <c:varyColors val="0"/>
        <c:ser>
          <c:idx val="0"/>
          <c:order val="1"/>
          <c:tx>
            <c:v>2025</c:v>
          </c:tx>
          <c:spPr>
            <a:solidFill>
              <a:schemeClr val="accent3">
                <a:lumMod val="60000"/>
                <a:lumOff val="40000"/>
              </a:schemeClr>
            </a:solidFill>
            <a:ln w="19050">
              <a:solidFill>
                <a:schemeClr val="accent3">
                  <a:lumMod val="50000"/>
                </a:schemeClr>
              </a:solidFill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Analysis!$Q$6:$Q$19</c:f>
                <c:numCache>
                  <c:formatCode>General</c:formatCode>
                  <c:ptCount val="14"/>
                  <c:pt idx="0">
                    <c:v>2</c:v>
                  </c:pt>
                  <c:pt idx="1">
                    <c:v>0</c:v>
                  </c:pt>
                  <c:pt idx="2">
                    <c:v>0</c:v>
                  </c:pt>
                  <c:pt idx="3">
                    <c:v>2</c:v>
                  </c:pt>
                  <c:pt idx="4">
                    <c:v>0</c:v>
                  </c:pt>
                  <c:pt idx="5">
                    <c:v>10</c:v>
                  </c:pt>
                  <c:pt idx="6">
                    <c:v>0</c:v>
                  </c:pt>
                  <c:pt idx="7">
                    <c:v>2</c:v>
                  </c:pt>
                  <c:pt idx="8">
                    <c:v>0</c:v>
                  </c:pt>
                  <c:pt idx="9">
                    <c:v>9</c:v>
                  </c:pt>
                  <c:pt idx="10">
                    <c:v>15</c:v>
                  </c:pt>
                  <c:pt idx="11">
                    <c:v>0</c:v>
                  </c:pt>
                  <c:pt idx="12">
                    <c:v>0</c:v>
                  </c:pt>
                  <c:pt idx="13">
                    <c:v>47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0" cap="flat" cmpd="sng" algn="ctr">
                <a:gradFill>
                  <a:gsLst>
                    <a:gs pos="0">
                      <a:srgbClr val="00B050"/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5400000" scaled="1"/>
                </a:gradFill>
                <a:prstDash val="sysDash"/>
                <a:round/>
                <a:headEnd type="oval"/>
                <a:tailEnd type="triangle"/>
              </a:ln>
              <a:effectLst/>
            </c:spPr>
          </c:errBars>
          <c:cat>
            <c:strRef>
              <c:f>Analysis!$N$6:$N$19</c:f>
              <c:strCache>
                <c:ptCount val="14"/>
                <c:pt idx="0">
                  <c:v>K-I</c:v>
                </c:pt>
                <c:pt idx="1">
                  <c:v>K-I</c:v>
                </c:pt>
                <c:pt idx="2">
                  <c:v>G-1</c:v>
                </c:pt>
                <c:pt idx="3">
                  <c:v>G-2</c:v>
                </c:pt>
                <c:pt idx="4">
                  <c:v>G-3</c:v>
                </c:pt>
                <c:pt idx="5">
                  <c:v>G-4</c:v>
                </c:pt>
                <c:pt idx="6">
                  <c:v>G-5</c:v>
                </c:pt>
                <c:pt idx="7">
                  <c:v>G-6</c:v>
                </c:pt>
                <c:pt idx="8">
                  <c:v>G-7</c:v>
                </c:pt>
                <c:pt idx="9">
                  <c:v>G-8</c:v>
                </c:pt>
                <c:pt idx="10">
                  <c:v>G-9</c:v>
                </c:pt>
                <c:pt idx="11">
                  <c:v>G-10</c:v>
                </c:pt>
                <c:pt idx="12">
                  <c:v>G-11</c:v>
                </c:pt>
                <c:pt idx="13">
                  <c:v>G-12</c:v>
                </c:pt>
              </c:strCache>
            </c:strRef>
          </c:cat>
          <c:val>
            <c:numRef>
              <c:f>Analysis!$O$6:$O$19</c:f>
              <c:numCache>
                <c:formatCode>General</c:formatCode>
                <c:ptCount val="14"/>
                <c:pt idx="0">
                  <c:v>7</c:v>
                </c:pt>
                <c:pt idx="1">
                  <c:v>25</c:v>
                </c:pt>
                <c:pt idx="2">
                  <c:v>26</c:v>
                </c:pt>
                <c:pt idx="3">
                  <c:v>25</c:v>
                </c:pt>
                <c:pt idx="4">
                  <c:v>28</c:v>
                </c:pt>
                <c:pt idx="5">
                  <c:v>14</c:v>
                </c:pt>
                <c:pt idx="6">
                  <c:v>21</c:v>
                </c:pt>
                <c:pt idx="7">
                  <c:v>17</c:v>
                </c:pt>
                <c:pt idx="8">
                  <c:v>86</c:v>
                </c:pt>
                <c:pt idx="9">
                  <c:v>80</c:v>
                </c:pt>
                <c:pt idx="10">
                  <c:v>67</c:v>
                </c:pt>
                <c:pt idx="11">
                  <c:v>68</c:v>
                </c:pt>
                <c:pt idx="12">
                  <c:v>145</c:v>
                </c:pt>
                <c:pt idx="1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A-44A7-9C00-8DA0EAD6FA32}"/>
            </c:ext>
          </c:extLst>
        </c:ser>
        <c:ser>
          <c:idx val="1"/>
          <c:order val="2"/>
          <c:tx>
            <c:v>2024</c:v>
          </c:tx>
          <c:spPr>
            <a:solidFill>
              <a:schemeClr val="tx2">
                <a:lumMod val="50000"/>
              </a:schemeClr>
            </a:solidFill>
            <a:ln w="19050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Analysis!$R$6:$R$19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6</c:v>
                  </c:pt>
                  <c:pt idx="2">
                    <c:v>4</c:v>
                  </c:pt>
                  <c:pt idx="3">
                    <c:v>0</c:v>
                  </c:pt>
                  <c:pt idx="4">
                    <c:v>8</c:v>
                  </c:pt>
                  <c:pt idx="5">
                    <c:v>0</c:v>
                  </c:pt>
                  <c:pt idx="6">
                    <c:v>9</c:v>
                  </c:pt>
                  <c:pt idx="7">
                    <c:v>0</c:v>
                  </c:pt>
                  <c:pt idx="8">
                    <c:v>3</c:v>
                  </c:pt>
                  <c:pt idx="9">
                    <c:v>0</c:v>
                  </c:pt>
                  <c:pt idx="10">
                    <c:v>0</c:v>
                  </c:pt>
                  <c:pt idx="11">
                    <c:v>6</c:v>
                  </c:pt>
                  <c:pt idx="12">
                    <c:v>18</c:v>
                  </c:pt>
                  <c:pt idx="13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0" cap="flat" cmpd="sng" algn="ctr"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rgbClr val="C00000"/>
                    </a:gs>
                  </a:gsLst>
                  <a:lin ang="5400000" scaled="1"/>
                </a:gradFill>
                <a:prstDash val="sysDash"/>
                <a:round/>
                <a:headEnd type="triangle"/>
                <a:tailEnd type="oval"/>
              </a:ln>
              <a:effectLst/>
            </c:spPr>
          </c:errBars>
          <c:cat>
            <c:strRef>
              <c:f>Analysis!$N$6:$N$19</c:f>
              <c:strCache>
                <c:ptCount val="14"/>
                <c:pt idx="0">
                  <c:v>K-I</c:v>
                </c:pt>
                <c:pt idx="1">
                  <c:v>K-I</c:v>
                </c:pt>
                <c:pt idx="2">
                  <c:v>G-1</c:v>
                </c:pt>
                <c:pt idx="3">
                  <c:v>G-2</c:v>
                </c:pt>
                <c:pt idx="4">
                  <c:v>G-3</c:v>
                </c:pt>
                <c:pt idx="5">
                  <c:v>G-4</c:v>
                </c:pt>
                <c:pt idx="6">
                  <c:v>G-5</c:v>
                </c:pt>
                <c:pt idx="7">
                  <c:v>G-6</c:v>
                </c:pt>
                <c:pt idx="8">
                  <c:v>G-7</c:v>
                </c:pt>
                <c:pt idx="9">
                  <c:v>G-8</c:v>
                </c:pt>
                <c:pt idx="10">
                  <c:v>G-9</c:v>
                </c:pt>
                <c:pt idx="11">
                  <c:v>G-10</c:v>
                </c:pt>
                <c:pt idx="12">
                  <c:v>G-11</c:v>
                </c:pt>
                <c:pt idx="13">
                  <c:v>G-12</c:v>
                </c:pt>
              </c:strCache>
            </c:strRef>
          </c:cat>
          <c:val>
            <c:numRef>
              <c:f>Analysis!$P$6:$P$19</c:f>
              <c:numCache>
                <c:formatCode>General</c:formatCode>
                <c:ptCount val="14"/>
                <c:pt idx="0">
                  <c:v>9</c:v>
                </c:pt>
                <c:pt idx="1">
                  <c:v>19</c:v>
                </c:pt>
                <c:pt idx="2">
                  <c:v>22</c:v>
                </c:pt>
                <c:pt idx="3">
                  <c:v>27</c:v>
                </c:pt>
                <c:pt idx="4">
                  <c:v>20</c:v>
                </c:pt>
                <c:pt idx="5">
                  <c:v>24</c:v>
                </c:pt>
                <c:pt idx="6">
                  <c:v>12</c:v>
                </c:pt>
                <c:pt idx="7">
                  <c:v>19</c:v>
                </c:pt>
                <c:pt idx="8">
                  <c:v>83</c:v>
                </c:pt>
                <c:pt idx="9">
                  <c:v>89</c:v>
                </c:pt>
                <c:pt idx="10">
                  <c:v>82</c:v>
                </c:pt>
                <c:pt idx="11">
                  <c:v>62</c:v>
                </c:pt>
                <c:pt idx="12">
                  <c:v>127</c:v>
                </c:pt>
                <c:pt idx="13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8A-44A7-9C00-8DA0EAD6F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25"/>
        <c:axId val="593403440"/>
        <c:axId val="593403920"/>
      </c:barChart>
      <c:barChart>
        <c:barDir val="col"/>
        <c:grouping val="clustered"/>
        <c:varyColors val="0"/>
        <c:ser>
          <c:idx val="2"/>
          <c:order val="0"/>
          <c:tx>
            <c:v>Max1</c:v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C7490D8-9C28-402C-8C1C-F298D7D856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D8A-44A7-9C00-8DA0EAD6FA3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22A6588-98A7-4A1C-9609-267A9C28B9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D8A-44A7-9C00-8DA0EAD6FA3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42B7ECD-AF61-4A80-AA25-14512EBF94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D8A-44A7-9C00-8DA0EAD6FA3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84D6980-3D29-4B08-874D-84560D5721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D8A-44A7-9C00-8DA0EAD6FA3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1CCC82E-9DC3-4B3D-AB80-286AD6A0BF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D8A-44A7-9C00-8DA0EAD6FA3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C986FE9-4A48-44CC-A197-766EE63585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D8A-44A7-9C00-8DA0EAD6FA3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B3D7E35-3898-40DE-925E-C669D219D1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D8A-44A7-9C00-8DA0EAD6FA3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1A4C2EE-EC0A-4FF8-8391-0A7AD08DAF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D8A-44A7-9C00-8DA0EAD6FA3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C0FFEFE-BE18-472E-A911-98C1DB254C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D8A-44A7-9C00-8DA0EAD6FA3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595717A-20E6-4FCA-A115-1E2E7247B5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D8A-44A7-9C00-8DA0EAD6FA3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3398BF3-4DD3-47FF-912F-07E73BCC2E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D8A-44A7-9C00-8DA0EAD6FA3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130E9F9-ADF9-45E0-87BE-E9432FCAB0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D8A-44A7-9C00-8DA0EAD6FA3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3B257F8-639D-4F97-B3D8-B5D26D4F1D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D8A-44A7-9C00-8DA0EAD6FA3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802DBA6-724E-4F6B-80DF-D967F91B83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D8A-44A7-9C00-8DA0EAD6FA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Analysis!$S$6:$S$19</c:f>
              <c:numCache>
                <c:formatCode>General</c:formatCode>
                <c:ptCount val="14"/>
                <c:pt idx="0">
                  <c:v>9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24</c:v>
                </c:pt>
                <c:pt idx="6">
                  <c:v>21</c:v>
                </c:pt>
                <c:pt idx="7">
                  <c:v>19</c:v>
                </c:pt>
                <c:pt idx="8">
                  <c:v>86</c:v>
                </c:pt>
                <c:pt idx="9">
                  <c:v>89</c:v>
                </c:pt>
                <c:pt idx="10">
                  <c:v>82</c:v>
                </c:pt>
                <c:pt idx="11">
                  <c:v>68</c:v>
                </c:pt>
                <c:pt idx="12">
                  <c:v>145</c:v>
                </c:pt>
                <c:pt idx="13">
                  <c:v>149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Analysis!$T$6:$T$19</c15:f>
                <c15:dlblRangeCache>
                  <c:ptCount val="14"/>
                  <c:pt idx="0">
                    <c:v>22%</c:v>
                  </c:pt>
                  <c:pt idx="3">
                    <c:v>7%</c:v>
                  </c:pt>
                  <c:pt idx="5">
                    <c:v>42%</c:v>
                  </c:pt>
                  <c:pt idx="7">
                    <c:v>11%</c:v>
                  </c:pt>
                  <c:pt idx="9">
                    <c:v>10%</c:v>
                  </c:pt>
                  <c:pt idx="10">
                    <c:v>18%</c:v>
                  </c:pt>
                  <c:pt idx="13">
                    <c:v>32%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8D8A-44A7-9C00-8DA0EAD6FA32}"/>
            </c:ext>
          </c:extLst>
        </c:ser>
        <c:ser>
          <c:idx val="3"/>
          <c:order val="3"/>
          <c:tx>
            <c:v>MAx2</c:v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501FA66-B369-479A-ADDB-6B99C0A720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8D8A-44A7-9C00-8DA0EAD6FA3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E962791-7BB3-4A5F-9CF5-57BB19E894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D8A-44A7-9C00-8DA0EAD6FA32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52CD3DC-1E71-4AAF-8FAD-9CF1E1D05459}" type="CELLRANGE">
                      <a:rPr lang="en-US"/>
                      <a:pPr>
                        <a:defRPr sz="1400" b="1"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 w="12700">
                  <a:solidFill>
                    <a:schemeClr val="tx2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D8A-44A7-9C00-8DA0EAD6FA3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1A6E7D3-AECF-48AC-BF49-0042F0F1CD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D8A-44A7-9C00-8DA0EAD6FA3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06B926A-1748-4148-BC33-4F02F075CD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D8A-44A7-9C00-8DA0EAD6FA3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CC3D371-7FE4-41F0-B926-3878A3301C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D8A-44A7-9C00-8DA0EAD6FA3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75B8475-2F4F-4D35-AB34-8BA7728A88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D8A-44A7-9C00-8DA0EAD6FA3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D3BC6A0-47D0-41BF-800F-3829143D9B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D8A-44A7-9C00-8DA0EAD6FA32}"/>
                </c:ext>
              </c:extLst>
            </c:dLbl>
            <c:dLbl>
              <c:idx val="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500" b="1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0B6661E-7A17-4CD4-A6D9-D4267C386936}" type="CELLRANGE">
                      <a:rPr lang="en-US"/>
                      <a:pPr>
                        <a:defRPr sz="1500" b="1"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 w="12700">
                  <a:solidFill>
                    <a:schemeClr val="tx2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D8A-44A7-9C00-8DA0EAD6FA3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540E4A2-4E0C-4DDA-9AFC-89BD32023C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D8A-44A7-9C00-8DA0EAD6FA3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982A1A7-D04C-4661-8984-22CD2F236B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D8A-44A7-9C00-8DA0EAD6FA3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754B3C6-0BD4-4480-B746-0F94ACB2BD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D8A-44A7-9C00-8DA0EAD6FA32}"/>
                </c:ext>
              </c:extLst>
            </c:dLbl>
            <c:dLbl>
              <c:idx val="1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500" b="1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979BC22-0ADC-4A26-B45F-F9036F0C91FB}" type="CELLRANGE">
                      <a:rPr lang="en-US"/>
                      <a:pPr>
                        <a:defRPr sz="1500" b="1"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 w="12700">
                  <a:solidFill>
                    <a:schemeClr val="tx2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D8A-44A7-9C00-8DA0EAD6FA3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94E0AF3-D53F-4879-AB6C-7198D5D08C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D8A-44A7-9C00-8DA0EAD6FA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Analysis!$S$6:$S$19</c:f>
              <c:numCache>
                <c:formatCode>General</c:formatCode>
                <c:ptCount val="14"/>
                <c:pt idx="0">
                  <c:v>9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24</c:v>
                </c:pt>
                <c:pt idx="6">
                  <c:v>21</c:v>
                </c:pt>
                <c:pt idx="7">
                  <c:v>19</c:v>
                </c:pt>
                <c:pt idx="8">
                  <c:v>86</c:v>
                </c:pt>
                <c:pt idx="9">
                  <c:v>89</c:v>
                </c:pt>
                <c:pt idx="10">
                  <c:v>82</c:v>
                </c:pt>
                <c:pt idx="11">
                  <c:v>68</c:v>
                </c:pt>
                <c:pt idx="12">
                  <c:v>145</c:v>
                </c:pt>
                <c:pt idx="13">
                  <c:v>149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Analysis!$U$6:$U$19</c15:f>
                <c15:dlblRangeCache>
                  <c:ptCount val="14"/>
                  <c:pt idx="1">
                    <c:v>24%</c:v>
                  </c:pt>
                  <c:pt idx="2">
                    <c:v>15%</c:v>
                  </c:pt>
                  <c:pt idx="4">
                    <c:v>29%</c:v>
                  </c:pt>
                  <c:pt idx="6">
                    <c:v>43%</c:v>
                  </c:pt>
                  <c:pt idx="8">
                    <c:v>3%</c:v>
                  </c:pt>
                  <c:pt idx="11">
                    <c:v>9%</c:v>
                  </c:pt>
                  <c:pt idx="12">
                    <c:v>12%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8D8A-44A7-9C00-8DA0EAD6F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25"/>
        <c:axId val="453573920"/>
        <c:axId val="453572960"/>
      </c:barChart>
      <c:catAx>
        <c:axId val="59340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403920"/>
        <c:crosses val="autoZero"/>
        <c:auto val="1"/>
        <c:lblAlgn val="ctr"/>
        <c:lblOffset val="100"/>
        <c:noMultiLvlLbl val="0"/>
      </c:catAx>
      <c:valAx>
        <c:axId val="593403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3403440"/>
        <c:crosses val="autoZero"/>
        <c:crossBetween val="between"/>
      </c:valAx>
      <c:valAx>
        <c:axId val="45357296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53573920"/>
        <c:crosses val="max"/>
        <c:crossBetween val="between"/>
      </c:valAx>
      <c:catAx>
        <c:axId val="453573920"/>
        <c:scaling>
          <c:orientation val="minMax"/>
        </c:scaling>
        <c:delete val="1"/>
        <c:axPos val="b"/>
        <c:majorTickMark val="out"/>
        <c:minorTickMark val="none"/>
        <c:tickLblPos val="nextTo"/>
        <c:crossAx val="453572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Analysis!$AQ$15</c:f>
              <c:strCache>
                <c:ptCount val="1"/>
                <c:pt idx="0">
                  <c:v>REG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Analysis!$AP$16:$AP$20</c:f>
              <c:strCache>
                <c:ptCount val="5"/>
                <c:pt idx="0">
                  <c:v>SENIOR HIGH SCHOOL</c:v>
                </c:pt>
                <c:pt idx="1">
                  <c:v>HIGH SCHOOL</c:v>
                </c:pt>
                <c:pt idx="2">
                  <c:v>ELEMENTARY</c:v>
                </c:pt>
                <c:pt idx="3">
                  <c:v>KINDER</c:v>
                </c:pt>
                <c:pt idx="4">
                  <c:v>%</c:v>
                </c:pt>
              </c:strCache>
            </c:strRef>
          </c:cat>
          <c:val>
            <c:numRef>
              <c:f>Analysis!$AQ$16:$AQ$20</c:f>
              <c:numCache>
                <c:formatCode>General</c:formatCode>
                <c:ptCount val="5"/>
                <c:pt idx="0">
                  <c:v>28</c:v>
                </c:pt>
                <c:pt idx="1">
                  <c:v>77</c:v>
                </c:pt>
                <c:pt idx="2">
                  <c:v>124</c:v>
                </c:pt>
                <c:pt idx="3">
                  <c:v>28</c:v>
                </c:pt>
                <c:pt idx="4" formatCode="0%">
                  <c:v>0.34543010752688175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9-4B48-AA97-D4D9203345AE}"/>
            </c:ext>
          </c:extLst>
        </c:ser>
        <c:ser>
          <c:idx val="1"/>
          <c:order val="1"/>
          <c:tx>
            <c:strRef>
              <c:f>Analysis!$AR$15</c:f>
              <c:strCache>
                <c:ptCount val="1"/>
                <c:pt idx="0">
                  <c:v>ESC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DF-4D00-8884-8A8C45E2F45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DF-4D00-8884-8A8C45E2F4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Analysis!$AP$16:$AP$20</c:f>
              <c:strCache>
                <c:ptCount val="5"/>
                <c:pt idx="0">
                  <c:v>SENIOR HIGH SCHOOL</c:v>
                </c:pt>
                <c:pt idx="1">
                  <c:v>HIGH SCHOOL</c:v>
                </c:pt>
                <c:pt idx="2">
                  <c:v>ELEMENTARY</c:v>
                </c:pt>
                <c:pt idx="3">
                  <c:v>KINDER</c:v>
                </c:pt>
                <c:pt idx="4">
                  <c:v>%</c:v>
                </c:pt>
              </c:strCache>
            </c:strRef>
          </c:cat>
          <c:val>
            <c:numRef>
              <c:f>Analysis!$AR$16:$AR$20</c:f>
              <c:numCache>
                <c:formatCode>General</c:formatCode>
                <c:ptCount val="5"/>
                <c:pt idx="0">
                  <c:v>58</c:v>
                </c:pt>
                <c:pt idx="1">
                  <c:v>73</c:v>
                </c:pt>
                <c:pt idx="2">
                  <c:v>0</c:v>
                </c:pt>
                <c:pt idx="3">
                  <c:v>0</c:v>
                </c:pt>
                <c:pt idx="4" formatCode="0%">
                  <c:v>0.17607526881720431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B9-4B48-AA97-D4D9203345AE}"/>
            </c:ext>
          </c:extLst>
        </c:ser>
        <c:ser>
          <c:idx val="2"/>
          <c:order val="2"/>
          <c:tx>
            <c:strRef>
              <c:f>Analysis!$AS$15</c:f>
              <c:strCache>
                <c:ptCount val="1"/>
                <c:pt idx="0">
                  <c:v>QVR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9DF-4D00-8884-8A8C45E2F45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DF-4D00-8884-8A8C45E2F45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DF-4D00-8884-8A8C45E2F4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Analysis!$AP$16:$AP$20</c:f>
              <c:strCache>
                <c:ptCount val="5"/>
                <c:pt idx="0">
                  <c:v>SENIOR HIGH SCHOOL</c:v>
                </c:pt>
                <c:pt idx="1">
                  <c:v>HIGH SCHOOL</c:v>
                </c:pt>
                <c:pt idx="2">
                  <c:v>ELEMENTARY</c:v>
                </c:pt>
                <c:pt idx="3">
                  <c:v>KINDER</c:v>
                </c:pt>
                <c:pt idx="4">
                  <c:v>%</c:v>
                </c:pt>
              </c:strCache>
            </c:strRef>
          </c:cat>
          <c:val>
            <c:numRef>
              <c:f>Analysis!$AS$16:$AS$20</c:f>
              <c:numCache>
                <c:formatCode>General</c:formatCode>
                <c:ptCount val="5"/>
                <c:pt idx="0">
                  <c:v>121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%">
                  <c:v>0.16263440860215053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B9-4B48-AA97-D4D9203345AE}"/>
            </c:ext>
          </c:extLst>
        </c:ser>
        <c:ser>
          <c:idx val="3"/>
          <c:order val="3"/>
          <c:tx>
            <c:strRef>
              <c:f>Analysis!$AT$15</c:f>
              <c:strCache>
                <c:ptCount val="1"/>
                <c:pt idx="0">
                  <c:v>TLC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DF-4D00-8884-8A8C45E2F45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DF-4D00-8884-8A8C45E2F4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Analysis!$AP$16:$AP$20</c:f>
              <c:strCache>
                <c:ptCount val="5"/>
                <c:pt idx="0">
                  <c:v>SENIOR HIGH SCHOOL</c:v>
                </c:pt>
                <c:pt idx="1">
                  <c:v>HIGH SCHOOL</c:v>
                </c:pt>
                <c:pt idx="2">
                  <c:v>ELEMENTARY</c:v>
                </c:pt>
                <c:pt idx="3">
                  <c:v>KINDER</c:v>
                </c:pt>
                <c:pt idx="4">
                  <c:v>%</c:v>
                </c:pt>
              </c:strCache>
            </c:strRef>
          </c:cat>
          <c:val>
            <c:numRef>
              <c:f>Analysis!$AT$16:$AT$20</c:f>
              <c:numCache>
                <c:formatCode>General</c:formatCode>
                <c:ptCount val="5"/>
                <c:pt idx="0">
                  <c:v>69</c:v>
                </c:pt>
                <c:pt idx="1">
                  <c:v>166</c:v>
                </c:pt>
                <c:pt idx="2">
                  <c:v>0</c:v>
                </c:pt>
                <c:pt idx="3">
                  <c:v>0</c:v>
                </c:pt>
                <c:pt idx="4" formatCode="0%">
                  <c:v>0.31586021505376344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B9-4B48-AA97-D4D920334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822463840"/>
        <c:axId val="1728073120"/>
      </c:barChart>
      <c:catAx>
        <c:axId val="182246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073120"/>
        <c:crosses val="autoZero"/>
        <c:auto val="1"/>
        <c:lblAlgn val="ctr"/>
        <c:lblOffset val="100"/>
        <c:noMultiLvlLbl val="0"/>
      </c:catAx>
      <c:valAx>
        <c:axId val="172807312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4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analysis.xlsx]Analysis!2025 STAND DISTRIBUTION</c:name>
    <c:fmtId val="2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3442023-C4B4-43AB-99F5-A79A386FCBC9}" type="CELLRANGE">
                  <a:rPr lang="en-US"/>
                  <a:pPr>
                    <a:defRPr sz="1100" b="1"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109231B-53B2-4C4C-8307-29EEAF84C372}" type="CELLRANGE">
                  <a:rPr lang="en-US"/>
                  <a:pPr>
                    <a:defRPr sz="1100" b="1"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B3D2691-5A76-465B-AFFE-A61474FF9241}" type="CELLRANGE">
                  <a:rPr lang="en-US"/>
                  <a:pPr>
                    <a:defRPr sz="1100" b="1"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8F37DF3-ED92-46D8-AD58-9000993E38FA}" type="CELLRANGE">
                  <a:rPr lang="en-US"/>
                  <a:pPr>
                    <a:defRPr sz="1100" b="1"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DC531C8-E8D7-4F9F-8416-DB363D762A7C}" type="CELLRANGE">
                  <a:rPr lang="en-US"/>
                  <a:pPr>
                    <a:defRPr sz="1100" b="1"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414028553693358E-2"/>
          <c:y val="0.13425925925925927"/>
          <c:w val="0.9317194289261328"/>
          <c:h val="0.741141732283464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Analysis!$BD$6:$BD$10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3442023-C4B4-43AB-99F5-A79A386FCB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AAC-475C-8687-C3B811570DE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109231B-53B2-4C4C-8307-29EEAF84C3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AAC-475C-8687-C3B811570DE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B3D2691-5A76-465B-AFFE-A61474FF92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AAC-475C-8687-C3B811570DE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8F37DF3-ED92-46D8-AD58-9000993E38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AAC-475C-8687-C3B811570DE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DC531C8-E8D7-4F9F-8416-DB363D762A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AAC-475C-8687-C3B811570D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Analysis!$BD$6:$BD$10</c:f>
              <c:strCache>
                <c:ptCount val="5"/>
                <c:pt idx="0">
                  <c:v>HUMSS</c:v>
                </c:pt>
                <c:pt idx="1">
                  <c:v>STEM</c:v>
                </c:pt>
                <c:pt idx="2">
                  <c:v>ABM</c:v>
                </c:pt>
                <c:pt idx="3">
                  <c:v>ICT</c:v>
                </c:pt>
                <c:pt idx="4">
                  <c:v>HES</c:v>
                </c:pt>
              </c:strCache>
            </c:strRef>
          </c:cat>
          <c:val>
            <c:numRef>
              <c:f>Analysis!$BD$6:$BD$10</c:f>
              <c:numCache>
                <c:formatCode>General</c:formatCode>
                <c:ptCount val="5"/>
                <c:pt idx="0">
                  <c:v>118</c:v>
                </c:pt>
                <c:pt idx="1">
                  <c:v>80</c:v>
                </c:pt>
                <c:pt idx="2">
                  <c:v>44</c:v>
                </c:pt>
                <c:pt idx="3">
                  <c:v>24</c:v>
                </c:pt>
                <c:pt idx="4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Analysis!$BD$6:$BD$10</c15:f>
                <c15:dlblRangeCache>
                  <c:ptCount val="5"/>
                  <c:pt idx="0">
                    <c:v>43%-118</c:v>
                  </c:pt>
                  <c:pt idx="1">
                    <c:v>29%-80</c:v>
                  </c:pt>
                  <c:pt idx="2">
                    <c:v>16%-44</c:v>
                  </c:pt>
                  <c:pt idx="3">
                    <c:v>9%-24</c:v>
                  </c:pt>
                  <c:pt idx="4">
                    <c:v>4%-10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AAC-475C-8687-C3B811570D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670233263"/>
        <c:axId val="670236623"/>
      </c:barChart>
      <c:catAx>
        <c:axId val="67023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236623"/>
        <c:crosses val="autoZero"/>
        <c:auto val="1"/>
        <c:lblAlgn val="ctr"/>
        <c:lblOffset val="100"/>
        <c:noMultiLvlLbl val="0"/>
      </c:catAx>
      <c:valAx>
        <c:axId val="6702366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023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106680</xdr:colOff>
      <xdr:row>15</xdr:row>
      <xdr:rowOff>148590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44AB7D-0D23-6B83-2BFB-30CEDB45FF7F}"/>
            </a:ext>
          </a:extLst>
        </xdr:cNvPr>
        <xdr:cNvSpPr txBox="1"/>
      </xdr:nvSpPr>
      <xdr:spPr>
        <a:xfrm>
          <a:off x="5082540" y="28994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23</xdr:col>
      <xdr:colOff>106680</xdr:colOff>
      <xdr:row>15</xdr:row>
      <xdr:rowOff>148590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8B45A0-03F9-4FDA-92B5-05345A25C56F}"/>
            </a:ext>
          </a:extLst>
        </xdr:cNvPr>
        <xdr:cNvSpPr txBox="1"/>
      </xdr:nvSpPr>
      <xdr:spPr>
        <a:xfrm>
          <a:off x="5082540" y="29070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29</xdr:col>
      <xdr:colOff>106680</xdr:colOff>
      <xdr:row>15</xdr:row>
      <xdr:rowOff>148590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752F82-6E5E-4862-B521-57D2C659F8CC}"/>
            </a:ext>
          </a:extLst>
        </xdr:cNvPr>
        <xdr:cNvSpPr txBox="1"/>
      </xdr:nvSpPr>
      <xdr:spPr>
        <a:xfrm>
          <a:off x="13662660" y="291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38</xdr:col>
      <xdr:colOff>106680</xdr:colOff>
      <xdr:row>15</xdr:row>
      <xdr:rowOff>148590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5B51B7-575D-458D-A8AB-822EAB87B9C2}"/>
            </a:ext>
          </a:extLst>
        </xdr:cNvPr>
        <xdr:cNvSpPr txBox="1"/>
      </xdr:nvSpPr>
      <xdr:spPr>
        <a:xfrm>
          <a:off x="18707100" y="291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49</xdr:col>
      <xdr:colOff>106680</xdr:colOff>
      <xdr:row>15</xdr:row>
      <xdr:rowOff>148590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44B85CF-8E9D-4469-9BB3-AE0E1A9F2B72}"/>
            </a:ext>
          </a:extLst>
        </xdr:cNvPr>
        <xdr:cNvSpPr txBox="1"/>
      </xdr:nvSpPr>
      <xdr:spPr>
        <a:xfrm>
          <a:off x="18707100" y="29451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388620</xdr:colOff>
      <xdr:row>4</xdr:row>
      <xdr:rowOff>114300</xdr:rowOff>
    </xdr:from>
    <xdr:to>
      <xdr:col>23</xdr:col>
      <xdr:colOff>457200</xdr:colOff>
      <xdr:row>37</xdr:row>
      <xdr:rowOff>53340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BBE2BF97-90D4-4C3E-A9D3-ACF217D18E49}"/>
            </a:ext>
          </a:extLst>
        </xdr:cNvPr>
        <xdr:cNvSpPr/>
      </xdr:nvSpPr>
      <xdr:spPr>
        <a:xfrm>
          <a:off x="10142220" y="845820"/>
          <a:ext cx="4335780" cy="5974080"/>
        </a:xfrm>
        <a:prstGeom prst="roundRect">
          <a:avLst>
            <a:gd name="adj" fmla="val 2100"/>
          </a:avLst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472440</xdr:colOff>
      <xdr:row>8</xdr:row>
      <xdr:rowOff>129540</xdr:rowOff>
    </xdr:from>
    <xdr:to>
      <xdr:col>16</xdr:col>
      <xdr:colOff>335280</xdr:colOff>
      <xdr:row>37</xdr:row>
      <xdr:rowOff>91440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AE03675D-1434-44B1-85E0-967AE576D481}"/>
            </a:ext>
          </a:extLst>
        </xdr:cNvPr>
        <xdr:cNvSpPr/>
      </xdr:nvSpPr>
      <xdr:spPr>
        <a:xfrm>
          <a:off x="5958840" y="1592580"/>
          <a:ext cx="4130040" cy="5265420"/>
        </a:xfrm>
        <a:prstGeom prst="roundRect">
          <a:avLst>
            <a:gd name="adj" fmla="val 2100"/>
          </a:avLst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525780</xdr:colOff>
      <xdr:row>2</xdr:row>
      <xdr:rowOff>7620</xdr:rowOff>
    </xdr:from>
    <xdr:to>
      <xdr:col>19</xdr:col>
      <xdr:colOff>53340</xdr:colOff>
      <xdr:row>3</xdr:row>
      <xdr:rowOff>144780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4B4ADBA-137D-41F3-B779-9458A065B14D}"/>
            </a:ext>
          </a:extLst>
        </xdr:cNvPr>
        <xdr:cNvSpPr/>
      </xdr:nvSpPr>
      <xdr:spPr>
        <a:xfrm>
          <a:off x="5402580" y="373380"/>
          <a:ext cx="6233160" cy="32004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tx2">
                  <a:lumMod val="50000"/>
                </a:schemeClr>
              </a:solidFill>
              <a:latin typeface="Arial Black" panose="020B0A04020102020204" pitchFamily="34" charset="0"/>
            </a:rPr>
            <a:t>ENROLLMENT</a:t>
          </a:r>
          <a:r>
            <a:rPr lang="en-US" sz="2000" b="1" baseline="0">
              <a:solidFill>
                <a:schemeClr val="tx2">
                  <a:lumMod val="50000"/>
                </a:schemeClr>
              </a:solidFill>
              <a:latin typeface="Arial Black" panose="020B0A04020102020204" pitchFamily="34" charset="0"/>
            </a:rPr>
            <a:t> PERFORMANCE ANALYSIS</a:t>
          </a:r>
          <a:r>
            <a:rPr lang="en-US" sz="2000" b="1">
              <a:solidFill>
                <a:schemeClr val="tx2">
                  <a:lumMod val="50000"/>
                </a:schemeClr>
              </a:solidFill>
              <a:latin typeface="Arial Black" panose="020B0A04020102020204" pitchFamily="34" charset="0"/>
            </a:rPr>
            <a:t> </a:t>
          </a:r>
        </a:p>
      </xdr:txBody>
    </xdr:sp>
    <xdr:clientData/>
  </xdr:twoCellAnchor>
  <xdr:twoCellAnchor>
    <xdr:from>
      <xdr:col>10</xdr:col>
      <xdr:colOff>350520</xdr:colOff>
      <xdr:row>0</xdr:row>
      <xdr:rowOff>0</xdr:rowOff>
    </xdr:from>
    <xdr:to>
      <xdr:col>17</xdr:col>
      <xdr:colOff>518160</xdr:colOff>
      <xdr:row>1</xdr:row>
      <xdr:rowOff>99060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6A2B537-85A7-D1AF-CD02-526EFCC56870}"/>
            </a:ext>
          </a:extLst>
        </xdr:cNvPr>
        <xdr:cNvSpPr/>
      </xdr:nvSpPr>
      <xdr:spPr>
        <a:xfrm>
          <a:off x="6446520" y="0"/>
          <a:ext cx="4434840" cy="28194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5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HSL-BRAILLE COLLEGE INC. </a:t>
          </a:r>
          <a:endParaRPr lang="en-US" sz="1500">
            <a:solidFill>
              <a:schemeClr val="tx1">
                <a:lumMod val="85000"/>
                <a:lumOff val="15000"/>
              </a:schemeClr>
            </a:soli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243840</xdr:colOff>
      <xdr:row>9</xdr:row>
      <xdr:rowOff>0</xdr:rowOff>
    </xdr:from>
    <xdr:to>
      <xdr:col>4</xdr:col>
      <xdr:colOff>388620</xdr:colOff>
      <xdr:row>10</xdr:row>
      <xdr:rowOff>106680</xdr:rowOff>
    </xdr:to>
    <xdr:sp macro="" textlink="Analysis!F9">
      <xdr:nvSpPr>
        <xdr:cNvPr id="10" name="Rectangle: Rounded Corners 9">
          <a:extLst>
            <a:ext uri="{FF2B5EF4-FFF2-40B4-BE49-F238E27FC236}">
              <a16:creationId xmlns:a16="http://schemas.microsoft.com/office/drawing/2014/main" id="{F47CEB17-655E-4380-939D-D200B1CD60D6}"/>
            </a:ext>
          </a:extLst>
        </xdr:cNvPr>
        <xdr:cNvSpPr/>
      </xdr:nvSpPr>
      <xdr:spPr>
        <a:xfrm>
          <a:off x="2072640" y="1645920"/>
          <a:ext cx="754380" cy="2895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0E92C00-1CFA-4AB1-9558-EFC6EDEADB71}" type="TxLink">
            <a:rPr lang="en-US" sz="1200" b="1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200" b="0">
            <a:solidFill>
              <a:schemeClr val="bg2">
                <a:lumMod val="10000"/>
              </a:schemeClr>
            </a:solidFill>
          </a:endParaRPr>
        </a:p>
      </xdr:txBody>
    </xdr:sp>
    <xdr:clientData/>
  </xdr:twoCellAnchor>
  <xdr:twoCellAnchor>
    <xdr:from>
      <xdr:col>10</xdr:col>
      <xdr:colOff>15240</xdr:colOff>
      <xdr:row>10</xdr:row>
      <xdr:rowOff>7620</xdr:rowOff>
    </xdr:from>
    <xdr:to>
      <xdr:col>16</xdr:col>
      <xdr:colOff>160020</xdr:colOff>
      <xdr:row>23</xdr:row>
      <xdr:rowOff>114300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527DDFF7-275A-C58A-CE3F-DC3F66668009}"/>
            </a:ext>
          </a:extLst>
        </xdr:cNvPr>
        <xdr:cNvGrpSpPr/>
      </xdr:nvGrpSpPr>
      <xdr:grpSpPr>
        <a:xfrm>
          <a:off x="6111240" y="1836420"/>
          <a:ext cx="3802380" cy="2484120"/>
          <a:chOff x="6057900" y="1264920"/>
          <a:chExt cx="4168140" cy="2484120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4EC3542C-C93C-41C5-B70B-861C2F57E1C5}"/>
              </a:ext>
            </a:extLst>
          </xdr:cNvPr>
          <xdr:cNvSpPr/>
        </xdr:nvSpPr>
        <xdr:spPr>
          <a:xfrm>
            <a:off x="6057900" y="1264920"/>
            <a:ext cx="4168140" cy="2484120"/>
          </a:xfrm>
          <a:prstGeom prst="roundRect">
            <a:avLst>
              <a:gd name="adj" fmla="val 6373"/>
            </a:avLst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157B4F23-8C57-61C3-CCE0-BFA1C35FD6B6}"/>
              </a:ext>
            </a:extLst>
          </xdr:cNvPr>
          <xdr:cNvGrpSpPr/>
        </xdr:nvGrpSpPr>
        <xdr:grpSpPr>
          <a:xfrm>
            <a:off x="6057900" y="1379220"/>
            <a:ext cx="4069080" cy="2308860"/>
            <a:chOff x="6835140" y="2141220"/>
            <a:chExt cx="4671060" cy="2308860"/>
          </a:xfrm>
        </xdr:grpSpPr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AB5FBAA2-5270-4CE8-B9E0-283AD1AAF8E3}"/>
                </a:ext>
              </a:extLst>
            </xdr:cNvPr>
            <xdr:cNvGraphicFramePr>
              <a:graphicFrameLocks/>
            </xdr:cNvGraphicFramePr>
          </xdr:nvGraphicFramePr>
          <xdr:xfrm>
            <a:off x="6934200" y="2263140"/>
            <a:ext cx="4572000" cy="21869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22" name="Rectangle: Rounded Corners 21">
              <a:extLst>
                <a:ext uri="{FF2B5EF4-FFF2-40B4-BE49-F238E27FC236}">
                  <a16:creationId xmlns:a16="http://schemas.microsoft.com/office/drawing/2014/main" id="{0DAC1A72-93F9-4611-9804-3FD47AB73A5C}"/>
                </a:ext>
              </a:extLst>
            </xdr:cNvPr>
            <xdr:cNvSpPr/>
          </xdr:nvSpPr>
          <xdr:spPr>
            <a:xfrm>
              <a:off x="6835140" y="2141220"/>
              <a:ext cx="4557346" cy="28956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1" i="0" u="none" strike="noStrike">
                  <a:solidFill>
                    <a:srgbClr val="375623"/>
                  </a:solidFill>
                  <a:latin typeface="Calibri"/>
                  <a:ea typeface="Calibri"/>
                  <a:cs typeface="Calibri"/>
                </a:rPr>
                <a:t>New vs Old</a:t>
              </a:r>
              <a:r>
                <a:rPr lang="en-US" sz="1600" b="1" i="0" u="none" strike="noStrike" baseline="0">
                  <a:solidFill>
                    <a:srgbClr val="375623"/>
                  </a:solidFill>
                  <a:latin typeface="Calibri"/>
                  <a:ea typeface="Calibri"/>
                  <a:cs typeface="Calibri"/>
                </a:rPr>
                <a:t> Student Enrollment</a:t>
              </a:r>
              <a:endParaRPr lang="en-US" sz="1600" b="1" i="0" u="none" strike="noStrike">
                <a:solidFill>
                  <a:srgbClr val="375623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</xdr:grpSp>
    <xdr:clientData/>
  </xdr:twoCellAnchor>
  <xdr:twoCellAnchor>
    <xdr:from>
      <xdr:col>9</xdr:col>
      <xdr:colOff>556260</xdr:colOff>
      <xdr:row>24</xdr:row>
      <xdr:rowOff>7620</xdr:rowOff>
    </xdr:from>
    <xdr:to>
      <xdr:col>16</xdr:col>
      <xdr:colOff>152400</xdr:colOff>
      <xdr:row>36</xdr:row>
      <xdr:rowOff>167640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19015DF0-7DCC-8A8E-AC1D-CA5ADDAA983B}"/>
            </a:ext>
          </a:extLst>
        </xdr:cNvPr>
        <xdr:cNvGrpSpPr/>
      </xdr:nvGrpSpPr>
      <xdr:grpSpPr>
        <a:xfrm>
          <a:off x="6042660" y="4396740"/>
          <a:ext cx="3863340" cy="2354580"/>
          <a:chOff x="6149340" y="3962400"/>
          <a:chExt cx="4168140" cy="2484120"/>
        </a:xfrm>
      </xdr:grpSpPr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6EA2746B-8FF2-41BB-A474-43DFFBFE77A2}"/>
              </a:ext>
            </a:extLst>
          </xdr:cNvPr>
          <xdr:cNvSpPr/>
        </xdr:nvSpPr>
        <xdr:spPr>
          <a:xfrm>
            <a:off x="6149340" y="3962400"/>
            <a:ext cx="4168140" cy="2484120"/>
          </a:xfrm>
          <a:prstGeom prst="roundRect">
            <a:avLst>
              <a:gd name="adj" fmla="val 6373"/>
            </a:avLst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3E363DED-959C-4AFB-47A3-FAD8BC46E443}"/>
              </a:ext>
            </a:extLst>
          </xdr:cNvPr>
          <xdr:cNvGrpSpPr/>
        </xdr:nvGrpSpPr>
        <xdr:grpSpPr>
          <a:xfrm>
            <a:off x="6187440" y="3992880"/>
            <a:ext cx="3992880" cy="2286001"/>
            <a:chOff x="5821680" y="4472940"/>
            <a:chExt cx="4572000" cy="2286001"/>
          </a:xfrm>
        </xdr:grpSpPr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14A4327C-0B07-426A-9F31-B3CC2B4568A4}"/>
                </a:ext>
              </a:extLst>
            </xdr:cNvPr>
            <xdr:cNvGraphicFramePr>
              <a:graphicFrameLocks/>
            </xdr:cNvGraphicFramePr>
          </xdr:nvGraphicFramePr>
          <xdr:xfrm>
            <a:off x="5821680" y="4556905"/>
            <a:ext cx="4572000" cy="220203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24" name="Rectangle: Rounded Corners 23">
              <a:extLst>
                <a:ext uri="{FF2B5EF4-FFF2-40B4-BE49-F238E27FC236}">
                  <a16:creationId xmlns:a16="http://schemas.microsoft.com/office/drawing/2014/main" id="{68BAF478-FCB6-4017-9AA8-550DFB84EBB9}"/>
                </a:ext>
              </a:extLst>
            </xdr:cNvPr>
            <xdr:cNvSpPr/>
          </xdr:nvSpPr>
          <xdr:spPr>
            <a:xfrm>
              <a:off x="6072249" y="4472940"/>
              <a:ext cx="4108809" cy="28956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1" i="0" u="none" strike="noStrike">
                  <a:solidFill>
                    <a:srgbClr val="375623"/>
                  </a:solidFill>
                  <a:latin typeface="Calibri"/>
                  <a:ea typeface="Calibri"/>
                  <a:cs typeface="Calibri"/>
                </a:rPr>
                <a:t>Student ret</a:t>
              </a:r>
              <a:r>
                <a:rPr lang="en-US" sz="1600" b="1" i="0" u="none" strike="noStrike" baseline="0">
                  <a:solidFill>
                    <a:srgbClr val="375623"/>
                  </a:solidFill>
                  <a:latin typeface="Calibri"/>
                  <a:ea typeface="Calibri"/>
                  <a:cs typeface="Calibri"/>
                </a:rPr>
                <a:t>ention numbers by Year</a:t>
              </a:r>
              <a:endParaRPr lang="en-US" sz="1600" b="1" i="0" u="none" strike="noStrike">
                <a:solidFill>
                  <a:srgbClr val="375623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</xdr:grpSp>
    <xdr:clientData/>
  </xdr:twoCellAnchor>
  <xdr:twoCellAnchor>
    <xdr:from>
      <xdr:col>0</xdr:col>
      <xdr:colOff>91440</xdr:colOff>
      <xdr:row>4</xdr:row>
      <xdr:rowOff>114300</xdr:rowOff>
    </xdr:from>
    <xdr:to>
      <xdr:col>9</xdr:col>
      <xdr:colOff>411480</xdr:colOff>
      <xdr:row>37</xdr:row>
      <xdr:rowOff>53340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9548CF87-A673-55DE-EC0C-A88E44F55072}"/>
            </a:ext>
          </a:extLst>
        </xdr:cNvPr>
        <xdr:cNvSpPr/>
      </xdr:nvSpPr>
      <xdr:spPr>
        <a:xfrm>
          <a:off x="91440" y="845820"/>
          <a:ext cx="5806440" cy="5974080"/>
        </a:xfrm>
        <a:prstGeom prst="roundRect">
          <a:avLst>
            <a:gd name="adj" fmla="val 2100"/>
          </a:avLst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243840</xdr:colOff>
      <xdr:row>4</xdr:row>
      <xdr:rowOff>160020</xdr:rowOff>
    </xdr:from>
    <xdr:to>
      <xdr:col>9</xdr:col>
      <xdr:colOff>243840</xdr:colOff>
      <xdr:row>20</xdr:row>
      <xdr:rowOff>152400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D489CDE5-1C70-5012-3124-2CC3EC31E82D}"/>
            </a:ext>
          </a:extLst>
        </xdr:cNvPr>
        <xdr:cNvGrpSpPr/>
      </xdr:nvGrpSpPr>
      <xdr:grpSpPr>
        <a:xfrm>
          <a:off x="243840" y="891540"/>
          <a:ext cx="5486400" cy="2918460"/>
          <a:chOff x="228600" y="1135380"/>
          <a:chExt cx="5486400" cy="2918460"/>
        </a:xfrm>
      </xdr:grpSpPr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19FB2031-E77E-BE57-2ED0-0B619C059C18}"/>
              </a:ext>
            </a:extLst>
          </xdr:cNvPr>
          <xdr:cNvSpPr/>
        </xdr:nvSpPr>
        <xdr:spPr>
          <a:xfrm>
            <a:off x="228600" y="1203960"/>
            <a:ext cx="5486400" cy="2849880"/>
          </a:xfrm>
          <a:prstGeom prst="roundRect">
            <a:avLst>
              <a:gd name="adj" fmla="val 6373"/>
            </a:avLst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FC51904A-1895-C0EE-66C9-4B8138FCEED9}"/>
              </a:ext>
            </a:extLst>
          </xdr:cNvPr>
          <xdr:cNvGrpSpPr/>
        </xdr:nvGrpSpPr>
        <xdr:grpSpPr>
          <a:xfrm>
            <a:off x="251460" y="1135380"/>
            <a:ext cx="5379720" cy="2880360"/>
            <a:chOff x="1508760" y="952500"/>
            <a:chExt cx="5379720" cy="3002280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F26B9AF-6DF3-499A-ABE7-34AB61F1B897}"/>
                </a:ext>
              </a:extLst>
            </xdr:cNvPr>
            <xdr:cNvGraphicFramePr>
              <a:graphicFrameLocks/>
            </xdr:cNvGraphicFramePr>
          </xdr:nvGraphicFramePr>
          <xdr:xfrm>
            <a:off x="1508760" y="952500"/>
            <a:ext cx="5379720" cy="300228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11" name="Rectangle: Rounded Corners 10">
              <a:extLst>
                <a:ext uri="{FF2B5EF4-FFF2-40B4-BE49-F238E27FC236}">
                  <a16:creationId xmlns:a16="http://schemas.microsoft.com/office/drawing/2014/main" id="{A6CF59BF-85AE-4D2C-AA48-F03BAE913054}"/>
                </a:ext>
              </a:extLst>
            </xdr:cNvPr>
            <xdr:cNvSpPr/>
          </xdr:nvSpPr>
          <xdr:spPr>
            <a:xfrm>
              <a:off x="2613660" y="1043940"/>
              <a:ext cx="2849880" cy="28956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1" i="0" u="none" strike="noStrike">
                  <a:solidFill>
                    <a:srgbClr val="375623"/>
                  </a:solidFill>
                  <a:latin typeface="Calibri"/>
                  <a:ea typeface="Calibri"/>
                  <a:cs typeface="Calibri"/>
                </a:rPr>
                <a:t>2021</a:t>
              </a:r>
              <a:r>
                <a:rPr lang="en-US" sz="1600" b="1" i="0" u="none" strike="noStrike" baseline="0">
                  <a:solidFill>
                    <a:srgbClr val="375623"/>
                  </a:solidFill>
                  <a:latin typeface="Calibri"/>
                  <a:ea typeface="Calibri"/>
                  <a:cs typeface="Calibri"/>
                </a:rPr>
                <a:t> to 2025 enrollment trend</a:t>
              </a:r>
              <a:endParaRPr lang="en-US" sz="1600" b="1" i="0" u="none" strike="noStrike">
                <a:solidFill>
                  <a:srgbClr val="375623"/>
                </a:solidFill>
                <a:latin typeface="Calibri"/>
                <a:ea typeface="Calibri"/>
                <a:cs typeface="Calibri"/>
              </a:endParaRPr>
            </a:p>
          </xdr:txBody>
        </xdr:sp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EBC2A6C0-D59A-2831-80D4-54138AAFF537}"/>
                </a:ext>
              </a:extLst>
            </xdr:cNvPr>
            <xdr:cNvGrpSpPr/>
          </xdr:nvGrpSpPr>
          <xdr:grpSpPr>
            <a:xfrm>
              <a:off x="1554480" y="1379220"/>
              <a:ext cx="1638300" cy="838200"/>
              <a:chOff x="1554480" y="1379220"/>
              <a:chExt cx="1638300" cy="838200"/>
            </a:xfrm>
          </xdr:grpSpPr>
          <xdr:sp macro="" textlink="">
            <xdr:nvSpPr>
              <xdr:cNvPr id="6" name="Rectangle: Rounded Corners 5">
                <a:extLst>
                  <a:ext uri="{FF2B5EF4-FFF2-40B4-BE49-F238E27FC236}">
                    <a16:creationId xmlns:a16="http://schemas.microsoft.com/office/drawing/2014/main" id="{85F86113-DBD3-4C84-6F33-73A359C0FB9B}"/>
                  </a:ext>
                </a:extLst>
              </xdr:cNvPr>
              <xdr:cNvSpPr/>
            </xdr:nvSpPr>
            <xdr:spPr>
              <a:xfrm>
                <a:off x="1623060" y="1379220"/>
                <a:ext cx="1417320" cy="807720"/>
              </a:xfrm>
              <a:prstGeom prst="roundRect">
                <a:avLst/>
              </a:prstGeom>
              <a:solidFill>
                <a:srgbClr val="E9937B">
                  <a:alpha val="50000"/>
                </a:srgb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7" name="Rectangle: Rounded Corners 6">
                <a:extLst>
                  <a:ext uri="{FF2B5EF4-FFF2-40B4-BE49-F238E27FC236}">
                    <a16:creationId xmlns:a16="http://schemas.microsoft.com/office/drawing/2014/main" id="{4A600D1C-BC71-4CEF-8E87-4634965256CE}"/>
                  </a:ext>
                </a:extLst>
              </xdr:cNvPr>
              <xdr:cNvSpPr/>
            </xdr:nvSpPr>
            <xdr:spPr>
              <a:xfrm>
                <a:off x="1554480" y="1402080"/>
                <a:ext cx="1638300" cy="205740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400" b="1">
                    <a:solidFill>
                      <a:schemeClr val="bg2">
                        <a:lumMod val="10000"/>
                      </a:schemeClr>
                    </a:solidFill>
                  </a:rPr>
                  <a:t>2025</a:t>
                </a:r>
                <a:r>
                  <a:rPr lang="en-US" sz="1200" baseline="0">
                    <a:solidFill>
                      <a:schemeClr val="bg2">
                        <a:lumMod val="10000"/>
                      </a:schemeClr>
                    </a:solidFill>
                  </a:rPr>
                  <a:t> Total Student</a:t>
                </a:r>
                <a:endParaRPr lang="en-US" sz="1200">
                  <a:solidFill>
                    <a:schemeClr val="bg2">
                      <a:lumMod val="10000"/>
                    </a:schemeClr>
                  </a:solidFill>
                </a:endParaRPr>
              </a:p>
            </xdr:txBody>
          </xdr:sp>
          <xdr:sp macro="" textlink="Analysis!C9">
            <xdr:nvSpPr>
              <xdr:cNvPr id="8" name="Rectangle: Rounded Corners 7">
                <a:extLst>
                  <a:ext uri="{FF2B5EF4-FFF2-40B4-BE49-F238E27FC236}">
                    <a16:creationId xmlns:a16="http://schemas.microsoft.com/office/drawing/2014/main" id="{00C1721B-713F-4D46-A77C-416FC8D1466C}"/>
                  </a:ext>
                </a:extLst>
              </xdr:cNvPr>
              <xdr:cNvSpPr/>
            </xdr:nvSpPr>
            <xdr:spPr>
              <a:xfrm>
                <a:off x="1897380" y="1554480"/>
                <a:ext cx="876300" cy="487680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CC09859A-9880-49EE-97AE-881F69AD1740}" type="TxLink">
                  <a:rPr lang="en-US" sz="2500" b="1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pPr algn="ctr"/>
                  <a:t>744</a:t>
                </a:fld>
                <a:endParaRPr lang="en-US" sz="2500" b="1">
                  <a:solidFill>
                    <a:schemeClr val="bg2">
                      <a:lumMod val="10000"/>
                    </a:schemeClr>
                  </a:solidFill>
                </a:endParaRPr>
              </a:p>
            </xdr:txBody>
          </xdr:sp>
          <xdr:sp macro="" textlink="Analysis!C9">
            <xdr:nvSpPr>
              <xdr:cNvPr id="9" name="Rectangle: Rounded Corners 8">
                <a:extLst>
                  <a:ext uri="{FF2B5EF4-FFF2-40B4-BE49-F238E27FC236}">
                    <a16:creationId xmlns:a16="http://schemas.microsoft.com/office/drawing/2014/main" id="{42A6DB51-6455-4447-A168-C575FA221E11}"/>
                  </a:ext>
                </a:extLst>
              </xdr:cNvPr>
              <xdr:cNvSpPr/>
            </xdr:nvSpPr>
            <xdr:spPr>
              <a:xfrm>
                <a:off x="1638300" y="1920240"/>
                <a:ext cx="754380" cy="289560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100" b="0">
                    <a:solidFill>
                      <a:schemeClr val="bg2">
                        <a:lumMod val="10000"/>
                      </a:schemeClr>
                    </a:solidFill>
                  </a:rPr>
                  <a:t>vs</a:t>
                </a:r>
                <a:r>
                  <a:rPr lang="en-US" sz="1100" b="0" baseline="0">
                    <a:solidFill>
                      <a:schemeClr val="bg2">
                        <a:lumMod val="10000"/>
                      </a:schemeClr>
                    </a:solidFill>
                  </a:rPr>
                  <a:t> last yr:</a:t>
                </a:r>
                <a:endParaRPr lang="en-US" sz="1100" b="0">
                  <a:solidFill>
                    <a:schemeClr val="bg2">
                      <a:lumMod val="10000"/>
                    </a:schemeClr>
                  </a:solidFill>
                </a:endParaRPr>
              </a:p>
            </xdr:txBody>
          </xdr:sp>
          <xdr:sp macro="" textlink="Analysis!E9">
            <xdr:nvSpPr>
              <xdr:cNvPr id="13" name="Rectangle: Rounded Corners 12">
                <a:extLst>
                  <a:ext uri="{FF2B5EF4-FFF2-40B4-BE49-F238E27FC236}">
                    <a16:creationId xmlns:a16="http://schemas.microsoft.com/office/drawing/2014/main" id="{3646ED69-6BC3-445C-9C2F-6DD41BF18FB9}"/>
                  </a:ext>
                </a:extLst>
              </xdr:cNvPr>
              <xdr:cNvSpPr/>
            </xdr:nvSpPr>
            <xdr:spPr>
              <a:xfrm>
                <a:off x="2148840" y="1927860"/>
                <a:ext cx="754380" cy="289560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9BD21698-585D-4538-A160-27F31F028A6E}" type="TxLink">
                  <a:rPr lang="en-US" sz="1100" b="1" i="0" u="none" strike="noStrike">
                    <a:solidFill>
                      <a:srgbClr val="00B050"/>
                    </a:solidFill>
                    <a:latin typeface="Calibri"/>
                    <a:ea typeface="Calibri"/>
                    <a:cs typeface="Calibri"/>
                  </a:rPr>
                  <a:pPr algn="ctr"/>
                  <a:t>▲ 4%</a:t>
                </a:fld>
                <a:endParaRPr lang="en-US" sz="1100" b="1" i="0" u="none" strike="noStrike">
                  <a:solidFill>
                    <a:srgbClr val="00B050"/>
                  </a:solidFill>
                  <a:latin typeface="Calibri"/>
                  <a:ea typeface="Calibri"/>
                  <a:cs typeface="Calibri"/>
                </a:endParaRPr>
              </a:p>
            </xdr:txBody>
          </xdr:sp>
        </xdr:grpSp>
        <xdr:sp macro="" textlink="Analysis!C13">
          <xdr:nvSpPr>
            <xdr:cNvPr id="15" name="Rectangle: Rounded Corners 14">
              <a:extLst>
                <a:ext uri="{FF2B5EF4-FFF2-40B4-BE49-F238E27FC236}">
                  <a16:creationId xmlns:a16="http://schemas.microsoft.com/office/drawing/2014/main" id="{E90E4579-66FE-45B4-986A-C99A2E6BFE6C}"/>
                </a:ext>
              </a:extLst>
            </xdr:cNvPr>
            <xdr:cNvSpPr/>
          </xdr:nvSpPr>
          <xdr:spPr>
            <a:xfrm>
              <a:off x="3101340" y="1508760"/>
              <a:ext cx="3550920" cy="50292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fld id="{228DEC13-C322-4FCD-9267-05DCD4A86E3A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l"/>
                <a:t>The overall change from 2022 to 2025, indicating no improvement.</a:t>
              </a:fld>
              <a:endParaRPr lang="en-US" sz="1200" b="1" i="0" u="none" strike="noStrike">
                <a:solidFill>
                  <a:srgbClr val="375623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</xdr:grpSp>
    <xdr:clientData/>
  </xdr:twoCellAnchor>
  <xdr:twoCellAnchor>
    <xdr:from>
      <xdr:col>0</xdr:col>
      <xdr:colOff>236220</xdr:colOff>
      <xdr:row>21</xdr:row>
      <xdr:rowOff>38100</xdr:rowOff>
    </xdr:from>
    <xdr:to>
      <xdr:col>9</xdr:col>
      <xdr:colOff>236220</xdr:colOff>
      <xdr:row>37</xdr:row>
      <xdr:rowOff>22860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9B4DCC99-DF6F-4A53-C8B4-165C855BE9CE}"/>
            </a:ext>
          </a:extLst>
        </xdr:cNvPr>
        <xdr:cNvGrpSpPr/>
      </xdr:nvGrpSpPr>
      <xdr:grpSpPr>
        <a:xfrm>
          <a:off x="236220" y="3878580"/>
          <a:ext cx="5486400" cy="2910840"/>
          <a:chOff x="251460" y="3878580"/>
          <a:chExt cx="5486400" cy="2910840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94DD0083-BDAD-4092-BE14-0A92CCBA14D5}"/>
              </a:ext>
            </a:extLst>
          </xdr:cNvPr>
          <xdr:cNvSpPr/>
        </xdr:nvSpPr>
        <xdr:spPr>
          <a:xfrm>
            <a:off x="251460" y="3878580"/>
            <a:ext cx="5486400" cy="2849880"/>
          </a:xfrm>
          <a:prstGeom prst="roundRect">
            <a:avLst>
              <a:gd name="adj" fmla="val 6373"/>
            </a:avLst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DDB9EBBB-569C-DC33-E31C-F9D9EBBF8072}"/>
              </a:ext>
            </a:extLst>
          </xdr:cNvPr>
          <xdr:cNvGrpSpPr/>
        </xdr:nvGrpSpPr>
        <xdr:grpSpPr>
          <a:xfrm>
            <a:off x="266700" y="3901440"/>
            <a:ext cx="5394960" cy="2887980"/>
            <a:chOff x="1524000" y="3939540"/>
            <a:chExt cx="6652260" cy="2887980"/>
          </a:xfrm>
        </xdr:grpSpPr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BF20F2F-E9DB-46DE-94DE-16E6350E5C4D}"/>
                </a:ext>
              </a:extLst>
            </xdr:cNvPr>
            <xdr:cNvGraphicFramePr>
              <a:graphicFrameLocks/>
            </xdr:cNvGraphicFramePr>
          </xdr:nvGraphicFramePr>
          <xdr:xfrm>
            <a:off x="1524000" y="3939540"/>
            <a:ext cx="6652260" cy="288798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17" name="Rectangle: Rounded Corners 16">
              <a:extLst>
                <a:ext uri="{FF2B5EF4-FFF2-40B4-BE49-F238E27FC236}">
                  <a16:creationId xmlns:a16="http://schemas.microsoft.com/office/drawing/2014/main" id="{C8E32EA2-3E24-4BF7-A4EC-13E10AEEE5D2}"/>
                </a:ext>
              </a:extLst>
            </xdr:cNvPr>
            <xdr:cNvSpPr/>
          </xdr:nvSpPr>
          <xdr:spPr>
            <a:xfrm>
              <a:off x="2230530" y="3947160"/>
              <a:ext cx="4874604" cy="28956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1" i="0" u="none" strike="noStrike">
                  <a:solidFill>
                    <a:srgbClr val="375623"/>
                  </a:solidFill>
                  <a:latin typeface="Calibri"/>
                  <a:ea typeface="Calibri"/>
                  <a:cs typeface="Calibri"/>
                </a:rPr>
                <a:t>2024</a:t>
              </a:r>
              <a:r>
                <a:rPr lang="en-US" sz="1600" b="1" i="0" u="none" strike="noStrike" baseline="0">
                  <a:solidFill>
                    <a:srgbClr val="375623"/>
                  </a:solidFill>
                  <a:latin typeface="Calibri"/>
                  <a:ea typeface="Calibri"/>
                  <a:cs typeface="Calibri"/>
                </a:rPr>
                <a:t> vs 2025 change Percentage Change</a:t>
              </a:r>
              <a:endParaRPr lang="en-US" sz="1600" b="1" i="0" u="none" strike="noStrike">
                <a:solidFill>
                  <a:srgbClr val="375623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</xdr:grpSp>
    <xdr:clientData/>
  </xdr:twoCellAnchor>
  <xdr:twoCellAnchor>
    <xdr:from>
      <xdr:col>16</xdr:col>
      <xdr:colOff>457200</xdr:colOff>
      <xdr:row>5</xdr:row>
      <xdr:rowOff>91440</xdr:rowOff>
    </xdr:from>
    <xdr:to>
      <xdr:col>23</xdr:col>
      <xdr:colOff>373380</xdr:colOff>
      <xdr:row>21</xdr:row>
      <xdr:rowOff>60960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DECBE1D8-914A-A5A8-0493-7A858C7F8F4F}"/>
            </a:ext>
          </a:extLst>
        </xdr:cNvPr>
        <xdr:cNvGrpSpPr/>
      </xdr:nvGrpSpPr>
      <xdr:grpSpPr>
        <a:xfrm>
          <a:off x="10210800" y="1005840"/>
          <a:ext cx="4183380" cy="2895600"/>
          <a:chOff x="10142220" y="937260"/>
          <a:chExt cx="4183380" cy="2758440"/>
        </a:xfrm>
      </xdr:grpSpPr>
      <xdr:sp macro="" textlink="">
        <xdr:nvSpPr>
          <xdr:cNvPr id="41" name="Rectangle: Rounded Corners 40">
            <a:extLst>
              <a:ext uri="{FF2B5EF4-FFF2-40B4-BE49-F238E27FC236}">
                <a16:creationId xmlns:a16="http://schemas.microsoft.com/office/drawing/2014/main" id="{EFBD363D-5C05-49D6-9354-5FB9149F1B4C}"/>
              </a:ext>
            </a:extLst>
          </xdr:cNvPr>
          <xdr:cNvSpPr/>
        </xdr:nvSpPr>
        <xdr:spPr>
          <a:xfrm>
            <a:off x="10157460" y="937260"/>
            <a:ext cx="4168140" cy="2720340"/>
          </a:xfrm>
          <a:prstGeom prst="roundRect">
            <a:avLst>
              <a:gd name="adj" fmla="val 6373"/>
            </a:avLst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3AFFF528-62BF-4BDC-B0D3-5DA7C13E02A1}"/>
              </a:ext>
            </a:extLst>
          </xdr:cNvPr>
          <xdr:cNvGraphicFramePr>
            <a:graphicFrameLocks/>
          </xdr:cNvGraphicFramePr>
        </xdr:nvGraphicFramePr>
        <xdr:xfrm>
          <a:off x="10142220" y="1356360"/>
          <a:ext cx="4023360" cy="23393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42" name="Rectangle: Rounded Corners 41">
            <a:extLst>
              <a:ext uri="{FF2B5EF4-FFF2-40B4-BE49-F238E27FC236}">
                <a16:creationId xmlns:a16="http://schemas.microsoft.com/office/drawing/2014/main" id="{B28528F7-33E2-41F0-8842-D8DEA7880366}"/>
              </a:ext>
            </a:extLst>
          </xdr:cNvPr>
          <xdr:cNvSpPr/>
        </xdr:nvSpPr>
        <xdr:spPr>
          <a:xfrm>
            <a:off x="10424160" y="937260"/>
            <a:ext cx="3621646" cy="28956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 b="1" i="0" u="none" strike="noStrike">
                <a:solidFill>
                  <a:srgbClr val="375623"/>
                </a:solidFill>
                <a:latin typeface="Calibri"/>
                <a:ea typeface="Calibri"/>
                <a:cs typeface="Calibri"/>
              </a:rPr>
              <a:t>Scholarship Distribution</a:t>
            </a:r>
          </a:p>
        </xdr:txBody>
      </xdr:sp>
      <xdr:sp macro="" textlink="">
        <xdr:nvSpPr>
          <xdr:cNvPr id="43" name="Rectangle: Rounded Corners 42">
            <a:extLst>
              <a:ext uri="{FF2B5EF4-FFF2-40B4-BE49-F238E27FC236}">
                <a16:creationId xmlns:a16="http://schemas.microsoft.com/office/drawing/2014/main" id="{4A868B4B-C7C6-4473-A55A-54805496222F}"/>
              </a:ext>
            </a:extLst>
          </xdr:cNvPr>
          <xdr:cNvSpPr/>
        </xdr:nvSpPr>
        <xdr:spPr>
          <a:xfrm>
            <a:off x="10294620" y="1234441"/>
            <a:ext cx="3817620" cy="24384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300" b="1">
                <a:solidFill>
                  <a:schemeClr val="bg2">
                    <a:lumMod val="10000"/>
                  </a:schemeClr>
                </a:solidFill>
              </a:rPr>
              <a:t>35% </a:t>
            </a:r>
            <a:r>
              <a:rPr lang="en-US" sz="1100">
                <a:solidFill>
                  <a:schemeClr val="bg2">
                    <a:lumMod val="10000"/>
                  </a:schemeClr>
                </a:solidFill>
              </a:rPr>
              <a:t>of the student population is classified as regular</a:t>
            </a:r>
            <a:r>
              <a:rPr lang="en-US" sz="1100" b="0" i="0" u="none" strike="noStrike" baseline="0">
                <a:solidFill>
                  <a:schemeClr val="bg2">
                    <a:lumMod val="10000"/>
                  </a:schemeClr>
                </a:solidFill>
                <a:latin typeface="Calibri"/>
                <a:ea typeface="Calibri"/>
                <a:cs typeface="Calibri"/>
              </a:rPr>
              <a:t> in 2025.</a:t>
            </a:r>
            <a:endParaRPr lang="en-US" sz="1100" b="0" i="0" u="none" strike="noStrike">
              <a:solidFill>
                <a:schemeClr val="bg2">
                  <a:lumMod val="1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16</xdr:col>
      <xdr:colOff>441960</xdr:colOff>
      <xdr:row>21</xdr:row>
      <xdr:rowOff>99060</xdr:rowOff>
    </xdr:from>
    <xdr:to>
      <xdr:col>23</xdr:col>
      <xdr:colOff>342900</xdr:colOff>
      <xdr:row>36</xdr:row>
      <xdr:rowOff>160020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AD8AB05B-39FF-5B1C-9188-3CD30F688B5F}"/>
            </a:ext>
          </a:extLst>
        </xdr:cNvPr>
        <xdr:cNvGrpSpPr/>
      </xdr:nvGrpSpPr>
      <xdr:grpSpPr>
        <a:xfrm>
          <a:off x="10195560" y="3939540"/>
          <a:ext cx="4168140" cy="2804160"/>
          <a:chOff x="10195560" y="3870960"/>
          <a:chExt cx="4168140" cy="2750820"/>
        </a:xfrm>
      </xdr:grpSpPr>
      <xdr:sp macro="" textlink="">
        <xdr:nvSpPr>
          <xdr:cNvPr id="47" name="Rectangle: Rounded Corners 46">
            <a:extLst>
              <a:ext uri="{FF2B5EF4-FFF2-40B4-BE49-F238E27FC236}">
                <a16:creationId xmlns:a16="http://schemas.microsoft.com/office/drawing/2014/main" id="{3708DC3A-ADB8-47D9-B78C-71F2A81E3288}"/>
              </a:ext>
            </a:extLst>
          </xdr:cNvPr>
          <xdr:cNvSpPr/>
        </xdr:nvSpPr>
        <xdr:spPr>
          <a:xfrm>
            <a:off x="10195560" y="3870960"/>
            <a:ext cx="4168140" cy="2720340"/>
          </a:xfrm>
          <a:prstGeom prst="roundRect">
            <a:avLst>
              <a:gd name="adj" fmla="val 6373"/>
            </a:avLst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46" name="Chart 45">
            <a:extLst>
              <a:ext uri="{FF2B5EF4-FFF2-40B4-BE49-F238E27FC236}">
                <a16:creationId xmlns:a16="http://schemas.microsoft.com/office/drawing/2014/main" id="{A4D906DB-80E4-49E2-9F92-64EE2470C980}"/>
              </a:ext>
            </a:extLst>
          </xdr:cNvPr>
          <xdr:cNvGraphicFramePr>
            <a:graphicFrameLocks/>
          </xdr:cNvGraphicFramePr>
        </xdr:nvGraphicFramePr>
        <xdr:xfrm>
          <a:off x="10195560" y="3878580"/>
          <a:ext cx="409194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48" name="Rectangle: Rounded Corners 47">
            <a:extLst>
              <a:ext uri="{FF2B5EF4-FFF2-40B4-BE49-F238E27FC236}">
                <a16:creationId xmlns:a16="http://schemas.microsoft.com/office/drawing/2014/main" id="{CBE0CAF0-1D5E-4A81-AC96-D89F47120A55}"/>
              </a:ext>
            </a:extLst>
          </xdr:cNvPr>
          <xdr:cNvSpPr/>
        </xdr:nvSpPr>
        <xdr:spPr>
          <a:xfrm>
            <a:off x="10408920" y="3916680"/>
            <a:ext cx="3621646" cy="28956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 b="1" i="0" u="none" strike="noStrike">
                <a:solidFill>
                  <a:srgbClr val="375623"/>
                </a:solidFill>
                <a:latin typeface="Calibri"/>
                <a:ea typeface="Calibri"/>
                <a:cs typeface="Calibri"/>
              </a:rPr>
              <a:t>Strand</a:t>
            </a:r>
            <a:r>
              <a:rPr lang="en-US" sz="1600" b="1" i="0" u="none" strike="noStrike" baseline="0">
                <a:solidFill>
                  <a:srgbClr val="375623"/>
                </a:solidFill>
                <a:latin typeface="Calibri"/>
                <a:ea typeface="Calibri"/>
                <a:cs typeface="Calibri"/>
              </a:rPr>
              <a:t> Course Distribution</a:t>
            </a:r>
            <a:endParaRPr lang="en-US" sz="1600" b="1" i="0" u="none" strike="noStrike">
              <a:solidFill>
                <a:srgbClr val="375623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11</xdr:col>
      <xdr:colOff>243840</xdr:colOff>
      <xdr:row>5</xdr:row>
      <xdr:rowOff>0</xdr:rowOff>
    </xdr:from>
    <xdr:to>
      <xdr:col>14</xdr:col>
      <xdr:colOff>335280</xdr:colOff>
      <xdr:row>9</xdr:row>
      <xdr:rowOff>15240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61F2CA1E-65D9-6F65-A14C-33F6D4CC612C}"/>
            </a:ext>
          </a:extLst>
        </xdr:cNvPr>
        <xdr:cNvGrpSpPr/>
      </xdr:nvGrpSpPr>
      <xdr:grpSpPr>
        <a:xfrm>
          <a:off x="6949440" y="914400"/>
          <a:ext cx="1920240" cy="746760"/>
          <a:chOff x="6598920" y="822960"/>
          <a:chExt cx="1920240" cy="746760"/>
        </a:xfrm>
      </xdr:grpSpPr>
      <xdr:sp macro="" textlink="">
        <xdr:nvSpPr>
          <xdr:cNvPr id="57" name="Rectangle: Rounded Corners 56">
            <a:extLst>
              <a:ext uri="{FF2B5EF4-FFF2-40B4-BE49-F238E27FC236}">
                <a16:creationId xmlns:a16="http://schemas.microsoft.com/office/drawing/2014/main" id="{4260E20E-EA11-4378-953A-5A869751AD73}"/>
              </a:ext>
            </a:extLst>
          </xdr:cNvPr>
          <xdr:cNvSpPr/>
        </xdr:nvSpPr>
        <xdr:spPr>
          <a:xfrm>
            <a:off x="6743700" y="822960"/>
            <a:ext cx="1661160" cy="746760"/>
          </a:xfrm>
          <a:prstGeom prst="roundRect">
            <a:avLst>
              <a:gd name="adj" fmla="val 6373"/>
            </a:avLst>
          </a:prstGeom>
          <a:solidFill>
            <a:schemeClr val="accent6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8" name="Rectangle: Rounded Corners 57">
            <a:extLst>
              <a:ext uri="{FF2B5EF4-FFF2-40B4-BE49-F238E27FC236}">
                <a16:creationId xmlns:a16="http://schemas.microsoft.com/office/drawing/2014/main" id="{6CB8BC79-9803-46AD-B178-55CD10BAD1B9}"/>
              </a:ext>
            </a:extLst>
          </xdr:cNvPr>
          <xdr:cNvSpPr/>
        </xdr:nvSpPr>
        <xdr:spPr>
          <a:xfrm>
            <a:off x="7010400" y="861060"/>
            <a:ext cx="1150620" cy="19812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900" b="0" i="0" u="none" strike="noStrike">
                <a:solidFill>
                  <a:schemeClr val="bg1">
                    <a:lumMod val="95000"/>
                  </a:schemeClr>
                </a:solidFill>
                <a:latin typeface="Calibri"/>
                <a:ea typeface="Calibri"/>
                <a:cs typeface="Calibri"/>
              </a:rPr>
              <a:t>UTILIZATION</a:t>
            </a:r>
            <a:r>
              <a:rPr lang="en-US" sz="900" b="0" i="0" u="none" strike="noStrike" baseline="0">
                <a:solidFill>
                  <a:schemeClr val="bg1">
                    <a:lumMod val="95000"/>
                  </a:schemeClr>
                </a:solidFill>
                <a:latin typeface="Calibri"/>
                <a:ea typeface="Calibri"/>
                <a:cs typeface="Calibri"/>
              </a:rPr>
              <a:t> RATE</a:t>
            </a:r>
            <a:endParaRPr lang="en-US" sz="900" b="0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">
        <xdr:nvSpPr>
          <xdr:cNvPr id="60" name="Rectangle: Rounded Corners 59">
            <a:extLst>
              <a:ext uri="{FF2B5EF4-FFF2-40B4-BE49-F238E27FC236}">
                <a16:creationId xmlns:a16="http://schemas.microsoft.com/office/drawing/2014/main" id="{A53AC328-63A7-4043-8C17-4632867FD8E0}"/>
              </a:ext>
            </a:extLst>
          </xdr:cNvPr>
          <xdr:cNvSpPr/>
        </xdr:nvSpPr>
        <xdr:spPr>
          <a:xfrm>
            <a:off x="7086600" y="914400"/>
            <a:ext cx="1097280" cy="52578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 b="1" i="0" u="none" strike="noStrike">
                <a:solidFill>
                  <a:schemeClr val="bg1">
                    <a:lumMod val="95000"/>
                  </a:schemeClr>
                </a:solidFill>
                <a:latin typeface="Calibri"/>
                <a:ea typeface="Calibri"/>
                <a:cs typeface="Calibri"/>
              </a:rPr>
              <a:t>65%</a:t>
            </a:r>
          </a:p>
        </xdr:txBody>
      </xdr:sp>
      <xdr:sp macro="" textlink="">
        <xdr:nvSpPr>
          <xdr:cNvPr id="61" name="Rectangle: Rounded Corners 60">
            <a:extLst>
              <a:ext uri="{FF2B5EF4-FFF2-40B4-BE49-F238E27FC236}">
                <a16:creationId xmlns:a16="http://schemas.microsoft.com/office/drawing/2014/main" id="{40F3D889-CCF6-4338-BBE3-57B9ABC58805}"/>
              </a:ext>
            </a:extLst>
          </xdr:cNvPr>
          <xdr:cNvSpPr/>
        </xdr:nvSpPr>
        <xdr:spPr>
          <a:xfrm>
            <a:off x="6598920" y="1226820"/>
            <a:ext cx="1920240" cy="28956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i="0" u="none" strike="noStrike">
                <a:solidFill>
                  <a:schemeClr val="bg1">
                    <a:lumMod val="95000"/>
                  </a:schemeClr>
                </a:solidFill>
                <a:latin typeface="Calibri"/>
                <a:ea typeface="Calibri"/>
                <a:cs typeface="Calibri"/>
              </a:rPr>
              <a:t>1150</a:t>
            </a:r>
            <a:r>
              <a:rPr lang="en-US" sz="900" b="0" i="0" u="none" strike="noStrike" baseline="0">
                <a:solidFill>
                  <a:schemeClr val="bg1">
                    <a:lumMod val="95000"/>
                  </a:schemeClr>
                </a:solidFill>
                <a:latin typeface="Calibri"/>
                <a:ea typeface="Calibri"/>
                <a:cs typeface="Calibri"/>
              </a:rPr>
              <a:t> - Estimated Max Capacity</a:t>
            </a:r>
            <a:endParaRPr lang="en-US" sz="900" b="0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10</xdr:col>
      <xdr:colOff>60960</xdr:colOff>
      <xdr:row>25</xdr:row>
      <xdr:rowOff>114300</xdr:rowOff>
    </xdr:from>
    <xdr:to>
      <xdr:col>16</xdr:col>
      <xdr:colOff>175260</xdr:colOff>
      <xdr:row>29</xdr:row>
      <xdr:rowOff>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BC2556EA-F59D-4545-8516-53332179A717}"/>
            </a:ext>
          </a:extLst>
        </xdr:cNvPr>
        <xdr:cNvSpPr/>
      </xdr:nvSpPr>
      <xdr:spPr>
        <a:xfrm>
          <a:off x="6156960" y="4686300"/>
          <a:ext cx="3771900" cy="6172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>
              <a:solidFill>
                <a:schemeClr val="bg2">
                  <a:lumMod val="10000"/>
                </a:schemeClr>
              </a:solidFill>
            </a:rPr>
            <a:t>one-time enrollees out of 864 students—an alarming indicator of weakening student retention.</a:t>
          </a:r>
          <a:endParaRPr lang="en-US" sz="1600" b="0">
            <a:solidFill>
              <a:schemeClr val="bg2">
                <a:lumMod val="1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236220</xdr:colOff>
      <xdr:row>22</xdr:row>
      <xdr:rowOff>15240</xdr:rowOff>
    </xdr:from>
    <xdr:to>
      <xdr:col>7</xdr:col>
      <xdr:colOff>182880</xdr:colOff>
      <xdr:row>26</xdr:row>
      <xdr:rowOff>22860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619557C2-38EC-4AF8-8DC1-B2691E43435C}"/>
            </a:ext>
          </a:extLst>
        </xdr:cNvPr>
        <xdr:cNvSpPr/>
      </xdr:nvSpPr>
      <xdr:spPr>
        <a:xfrm>
          <a:off x="236220" y="4038600"/>
          <a:ext cx="4213860" cy="7391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>
              <a:solidFill>
                <a:schemeClr val="bg2">
                  <a:lumMod val="10000"/>
                </a:schemeClr>
              </a:solidFill>
            </a:rPr>
            <a:t>enrollment dropped in </a:t>
          </a:r>
          <a:r>
            <a:rPr lang="en-US" sz="1200" b="1">
              <a:solidFill>
                <a:schemeClr val="bg2">
                  <a:lumMod val="10000"/>
                </a:schemeClr>
              </a:solidFill>
            </a:rPr>
            <a:t>Grade 1 (</a:t>
          </a:r>
          <a:r>
            <a:rPr lang="en-US" sz="1200" b="1">
              <a:solidFill>
                <a:srgbClr val="C00000"/>
              </a:solidFill>
            </a:rPr>
            <a:t>−15%</a:t>
          </a:r>
          <a:r>
            <a:rPr lang="en-US" sz="1200" b="1">
              <a:solidFill>
                <a:schemeClr val="bg2">
                  <a:lumMod val="10000"/>
                </a:schemeClr>
              </a:solidFill>
            </a:rPr>
            <a:t>)</a:t>
          </a:r>
          <a:r>
            <a:rPr lang="en-US" sz="1200">
              <a:solidFill>
                <a:schemeClr val="bg2">
                  <a:lumMod val="10000"/>
                </a:schemeClr>
              </a:solidFill>
            </a:rPr>
            <a:t> </a:t>
          </a:r>
          <a:r>
            <a:rPr lang="en-US">
              <a:solidFill>
                <a:schemeClr val="bg2">
                  <a:lumMod val="10000"/>
                </a:schemeClr>
              </a:solidFill>
            </a:rPr>
            <a:t>and </a:t>
          </a:r>
          <a:r>
            <a:rPr lang="en-US" sz="1200" b="1">
              <a:solidFill>
                <a:schemeClr val="bg2">
                  <a:lumMod val="10000"/>
                </a:schemeClr>
              </a:solidFill>
            </a:rPr>
            <a:t>Grade 11 (</a:t>
          </a:r>
          <a:r>
            <a:rPr lang="en-US" sz="1200" b="1">
              <a:solidFill>
                <a:srgbClr val="C00000"/>
              </a:solidFill>
            </a:rPr>
            <a:t>−12%</a:t>
          </a:r>
          <a:r>
            <a:rPr lang="en-US" sz="1200" b="1">
              <a:solidFill>
                <a:schemeClr val="bg2">
                  <a:lumMod val="10000"/>
                </a:schemeClr>
              </a:solidFill>
            </a:rPr>
            <a:t>)</a:t>
          </a:r>
          <a:r>
            <a:rPr lang="en-US" sz="1200">
              <a:solidFill>
                <a:schemeClr val="bg2">
                  <a:lumMod val="10000"/>
                </a:schemeClr>
              </a:solidFill>
            </a:rPr>
            <a:t>, </a:t>
          </a:r>
          <a:r>
            <a:rPr lang="en-US">
              <a:solidFill>
                <a:schemeClr val="bg2">
                  <a:lumMod val="10000"/>
                </a:schemeClr>
              </a:solidFill>
            </a:rPr>
            <a:t>with a slight decline in </a:t>
          </a:r>
          <a:r>
            <a:rPr lang="en-US" sz="1200" b="1">
              <a:solidFill>
                <a:schemeClr val="bg2">
                  <a:lumMod val="10000"/>
                </a:schemeClr>
              </a:solidFill>
            </a:rPr>
            <a:t>Grade 7 (</a:t>
          </a:r>
          <a:r>
            <a:rPr lang="en-US" sz="1200" b="1">
              <a:solidFill>
                <a:srgbClr val="C00000"/>
              </a:solidFill>
            </a:rPr>
            <a:t>−3%</a:t>
          </a:r>
          <a:r>
            <a:rPr lang="en-US" sz="1200" b="1">
              <a:solidFill>
                <a:schemeClr val="bg2">
                  <a:lumMod val="10000"/>
                </a:schemeClr>
              </a:solidFill>
            </a:rPr>
            <a:t>)</a:t>
          </a:r>
          <a:r>
            <a:rPr lang="en-US" sz="1200">
              <a:solidFill>
                <a:schemeClr val="bg2">
                  <a:lumMod val="10000"/>
                </a:schemeClr>
              </a:solidFill>
            </a:rPr>
            <a:t> </a:t>
          </a:r>
          <a:r>
            <a:rPr lang="en-US">
              <a:solidFill>
                <a:schemeClr val="bg2">
                  <a:lumMod val="10000"/>
                </a:schemeClr>
              </a:solidFill>
            </a:rPr>
            <a:t>compared to 2024.</a:t>
          </a:r>
          <a:endParaRPr lang="en-US" sz="1600" b="0">
            <a:solidFill>
              <a:schemeClr val="bg2">
                <a:lumMod val="10000"/>
              </a:schemeClr>
            </a:solidFill>
            <a:effectLst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00.836823032405" backgroundQuery="1" createdVersion="8" refreshedVersion="8" minRefreshableVersion="3" recordCount="0" supportSubquery="1" supportAdvancedDrill="1" xr:uid="{AB12E00C-0930-449F-AD60-9D2ED54DDB06}">
  <cacheSource type="external" connectionId="2"/>
  <cacheFields count="4">
    <cacheField name="[MASTERLIST].[Level_Num].[Level_Num]" caption="Level_Num" numFmtId="0" hierarchy="5" level="1">
      <sharedItems count="14">
        <s v="1"/>
        <s v="10"/>
        <s v="11"/>
        <s v="12"/>
        <s v="13"/>
        <s v="14"/>
        <s v="2"/>
        <s v="3"/>
        <s v="4"/>
        <s v="5"/>
        <s v="6"/>
        <s v="7"/>
        <s v="8"/>
        <s v="9"/>
      </sharedItems>
    </cacheField>
    <cacheField name="[MASTERLIST].[YEAR].[YEAR]" caption="YEAR" numFmtId="0" hierarchy="2" level="1">
      <sharedItems containsSemiMixedTypes="0" containsString="0" containsNumber="1" containsInteger="1" minValue="2022" maxValue="2025" count="4"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MASTERLIST].[YEAR].&amp;[2022]"/>
            <x15:cachedUniqueName index="1" name="[MASTERLIST].[YEAR].&amp;[2023]"/>
            <x15:cachedUniqueName index="2" name="[MASTERLIST].[YEAR].&amp;[2024]"/>
            <x15:cachedUniqueName index="3" name="[MASTERLIST].[YEAR].&amp;[2025]"/>
          </x15:cachedUniqueNames>
        </ext>
      </extLst>
    </cacheField>
    <cacheField name="[Measures].[New_Student]" caption="New_Student" numFmtId="0" hierarchy="19" level="32767"/>
    <cacheField name="[Measures].[Old_Student]" caption="Old_Student" numFmtId="0" hierarchy="20" level="32767"/>
  </cacheFields>
  <cacheHierarchies count="25">
    <cacheHierarchy uniqueName="[MASTERLIST].[STUDENT NAME]" caption="STUDENT NAME" attribute="1" defaultMemberUniqueName="[MASTERLIST].[STUDENT NAME].[All]" allUniqueName="[MASTERLIST].[STUDENT NAME].[All]" dimensionUniqueName="[MASTERLIST]" displayFolder="" count="0" memberValueDatatype="130" unbalanced="0"/>
    <cacheHierarchy uniqueName="[MASTERLIST].[LEVEL]" caption="LEVEL" attribute="1" defaultMemberUniqueName="[MASTERLIST].[LEVEL].[All]" allUniqueName="[MASTERLIST].[LEVEL].[All]" dimensionUniqueName="[MASTERLIST]" displayFolder="" count="0" memberValueDatatype="130" unbalanced="0"/>
    <cacheHierarchy uniqueName="[MASTERLIST].[YEAR]" caption="YEAR" attribute="1" defaultMemberUniqueName="[MASTERLIST].[YEAR].[All]" allUniqueName="[MASTERLIST].[YEAR].[All]" dimensionUniqueName="[MASTERLIST]" displayFolder="" count="2" memberValueDatatype="20" unbalanced="0">
      <fieldsUsage count="2">
        <fieldUsage x="-1"/>
        <fieldUsage x="1"/>
      </fieldsUsage>
    </cacheHierarchy>
    <cacheHierarchy uniqueName="[MASTERLIST].[SCHOLAR]" caption="SCHOLAR" attribute="1" defaultMemberUniqueName="[MASTERLIST].[SCHOLAR].[All]" allUniqueName="[MASTERLIST].[SCHOLAR].[All]" dimensionUniqueName="[MASTERLIST]" displayFolder="" count="0" memberValueDatatype="130" unbalanced="0"/>
    <cacheHierarchy uniqueName="[MASTERLIST].[STRAND]" caption="STRAND" attribute="1" defaultMemberUniqueName="[MASTERLIST].[STRAND].[All]" allUniqueName="[MASTERLIST].[STRAND].[All]" dimensionUniqueName="[MASTERLIST]" displayFolder="" count="0" memberValueDatatype="130" unbalanced="0"/>
    <cacheHierarchy uniqueName="[MASTERLIST].[Level_Num]" caption="Level_Num" attribute="1" defaultMemberUniqueName="[MASTERLIST].[Level_Num].[All]" allUniqueName="[MASTERLIST].[Level_Num].[All]" dimensionUniqueName="[MASTERLIST]" displayFolder="" count="2" memberValueDatatype="130" unbalanced="0">
      <fieldsUsage count="2">
        <fieldUsage x="-1"/>
        <fieldUsage x="0"/>
      </fieldsUsage>
    </cacheHierarchy>
    <cacheHierarchy uniqueName="[MASTERLIST].[category]" caption="category" attribute="1" defaultMemberUniqueName="[MASTERLIST].[category].[All]" allUniqueName="[MASTERLIST].[category].[All]" dimensionUniqueName="[MASTERLIST]" displayFolder="" count="0" memberValueDatatype="130" unbalanced="0"/>
    <cacheHierarchy uniqueName="[MASTERLIST].[Scholar_Num]" caption="Scholar_Num" attribute="1" defaultMemberUniqueName="[MASTERLIST].[Scholar_Num].[All]" allUniqueName="[MASTERLIST].[Scholar_Num].[All]" dimensionUniqueName="[MASTERLIST]" displayFolder="" count="0" memberValueDatatype="130" unbalanced="0"/>
    <cacheHierarchy uniqueName="[MASTERLIST].[Enroll_Count]" caption="Enroll_Count" attribute="1" defaultMemberUniqueName="[MASTERLIST].[Enroll_Count].[All]" allUniqueName="[MASTERLIST].[Enroll_Count].[All]" dimensionUniqueName="[MASTERLIST]" displayFolder="" count="0" memberValueDatatype="20" unbalanced="0"/>
    <cacheHierarchy uniqueName="[MASTERLIST].[First_Year]" caption="First_Year" attribute="1" defaultMemberUniqueName="[MASTERLIST].[First_Year].[All]" allUniqueName="[MASTERLIST].[First_Year].[All]" dimensionUniqueName="[MASTERLIST]" displayFolder="" count="0" memberValueDatatype="20" unbalanced="0"/>
    <cacheHierarchy uniqueName="[MASTERLIST].[First_Level]" caption="First_Level" attribute="1" defaultMemberUniqueName="[MASTERLIST].[First_Level].[All]" allUniqueName="[MASTERLIST].[First_Level].[All]" dimensionUniqueName="[MASTERLIST]" displayFolder="" count="0" memberValueDatatype="20" unbalanced="0"/>
    <cacheHierarchy uniqueName="[MASTERLIST].[Exclude_Flag]" caption="Exclude_Flag" attribute="1" defaultMemberUniqueName="[MASTERLIST].[Exclude_Flag].[All]" allUniqueName="[MASTERLIST].[Exclude_Flag].[All]" dimensionUniqueName="[MASTERLIST]" displayFolder="" count="0" memberValueDatatype="20" unbalanced="0"/>
    <cacheHierarchy uniqueName="[MASTERLIST].[Times_Enrolled]" caption="Times_Enrolled" attribute="1" defaultMemberUniqueName="[MASTERLIST].[Times_Enrolled].[All]" allUniqueName="[MASTERLIST].[Times_Enrolled].[All]" dimensionUniqueName="[MASTERLIST]" displayFolder="" count="0" memberValueDatatype="20" unbalanced="0"/>
    <cacheHierarchy uniqueName="[Measures].[Count of STUDENT NAME]" caption="Count of STUDENT NAME" measure="1" displayFolder="" measureGroup="MASTERLIS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MASTERLIS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nroll_Count]" caption="Sum of Enroll_Count" measure="1" displayFolder="" measureGroup="MASTERLIS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STUDENT NAME]" caption="Distinct Count of STUDENT NAME" measure="1" displayFolder="" measureGroup="MASTERLIS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Enroll_Count]" caption="Distinct Count of Enroll_Count" measure="1" displayFolder="" measureGroup="MASTERLIS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imes_Enrolled]" caption="Sum of Times_Enrolled" measure="1" displayFolder="" measureGroup="MASTERLIST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ew_Student]" caption="New_Student" measure="1" displayFolder="" measureGroup="MASTERLIST" count="0" oneField="1">
      <fieldsUsage count="1">
        <fieldUsage x="2"/>
      </fieldsUsage>
    </cacheHierarchy>
    <cacheHierarchy uniqueName="[Measures].[Old_Student]" caption="Old_Student" measure="1" displayFolder="" measureGroup="MASTERLIST" count="0" oneField="1">
      <fieldsUsage count="1">
        <fieldUsage x="3"/>
      </fieldsUsage>
    </cacheHierarchy>
    <cacheHierarchy uniqueName="[Measures].[Student Count]" caption="Student Count" measure="1" displayFolder="" measureGroup="MASTERLIST" count="0"/>
    <cacheHierarchy uniqueName="[Measures].[Distinct Student]" caption="Distinct Student" measure="1" displayFolder="" measureGroup="MASTERLIST" count="0"/>
    <cacheHierarchy uniqueName="[Measures].[__XL_Count MASTERLIST]" caption="__XL_Count MASTERLIST" measure="1" displayFolder="" measureGroup="MASTERLIST" count="0" hidden="1"/>
    <cacheHierarchy uniqueName="[Measures].[__No measures defined]" caption="__No measures defined" measure="1" displayFolder="" count="0" hidden="1"/>
  </cacheHierarchies>
  <kpis count="0"/>
  <dimensions count="2">
    <dimension name="MASTERLIST" uniqueName="[MASTERLIST]" caption="MASTERLIST"/>
    <dimension measure="1" name="Measures" uniqueName="[Measures]" caption="Measures"/>
  </dimensions>
  <measureGroups count="1">
    <measureGroup name="MASTERLIST" caption="MASTERLIS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00.836824421298" backgroundQuery="1" createdVersion="8" refreshedVersion="8" minRefreshableVersion="3" recordCount="0" supportSubquery="1" supportAdvancedDrill="1" xr:uid="{C96F7AE6-A3B8-4B2A-BC92-AEDC60CA4359}">
  <cacheSource type="external" connectionId="2"/>
  <cacheFields count="4">
    <cacheField name="[Measures].[Count of STUDENT NAME]" caption="Count of STUDENT NAME" numFmtId="0" hierarchy="13" level="32767"/>
    <cacheField name="[MASTERLIST].[Level_Num].[Level_Num]" caption="Level_Num" numFmtId="0" hierarchy="5" level="1">
      <sharedItems count="14">
        <s v="1"/>
        <s v="10"/>
        <s v="11"/>
        <s v="12"/>
        <s v="13"/>
        <s v="14"/>
        <s v="2"/>
        <s v="3"/>
        <s v="4"/>
        <s v="5"/>
        <s v="6"/>
        <s v="7"/>
        <s v="8"/>
        <s v="9"/>
      </sharedItems>
    </cacheField>
    <cacheField name="[MASTERLIST].[LEVEL].[LEVEL]" caption="LEVEL" numFmtId="0" hierarchy="1" level="1">
      <sharedItems count="14">
        <s v="KINDER-I"/>
        <s v="GRADE-VIII"/>
        <s v="GRADE-IX"/>
        <s v="GRADE-X"/>
        <s v="GRADE-XI"/>
        <s v="GRADE-XII"/>
        <s v="KINDER-II"/>
        <s v="GRADE-I"/>
        <s v="GRADE-II"/>
        <s v="GRADE-III"/>
        <s v="GRADE-IV"/>
        <s v="GRADE-V"/>
        <s v="GRADE-VI"/>
        <s v="GRADE-VII"/>
      </sharedItems>
    </cacheField>
    <cacheField name="[MASTERLIST].[YEAR].[YEAR]" caption="YEAR" numFmtId="0" hierarchy="2" level="1">
      <sharedItems containsSemiMixedTypes="0" containsString="0" containsNumber="1" containsInteger="1" minValue="2024" maxValue="2025" count="2"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MASTERLIST].[YEAR].&amp;[2024]"/>
            <x15:cachedUniqueName index="1" name="[MASTERLIST].[YEAR].&amp;[2025]"/>
          </x15:cachedUniqueNames>
        </ext>
      </extLst>
    </cacheField>
  </cacheFields>
  <cacheHierarchies count="25">
    <cacheHierarchy uniqueName="[MASTERLIST].[STUDENT NAME]" caption="STUDENT NAME" attribute="1" defaultMemberUniqueName="[MASTERLIST].[STUDENT NAME].[All]" allUniqueName="[MASTERLIST].[STUDENT NAME].[All]" dimensionUniqueName="[MASTERLIST]" displayFolder="" count="0" memberValueDatatype="130" unbalanced="0"/>
    <cacheHierarchy uniqueName="[MASTERLIST].[LEVEL]" caption="LEVEL" attribute="1" defaultMemberUniqueName="[MASTERLIST].[LEVEL].[All]" allUniqueName="[MASTERLIST].[LEVEL].[All]" dimensionUniqueName="[MASTERLIST]" displayFolder="" count="2" memberValueDatatype="130" unbalanced="0">
      <fieldsUsage count="2">
        <fieldUsage x="-1"/>
        <fieldUsage x="2"/>
      </fieldsUsage>
    </cacheHierarchy>
    <cacheHierarchy uniqueName="[MASTERLIST].[YEAR]" caption="YEAR" attribute="1" defaultMemberUniqueName="[MASTERLIST].[YEAR].[All]" allUniqueName="[MASTERLIST].[YEAR].[All]" dimensionUniqueName="[MASTERLIST]" displayFolder="" count="2" memberValueDatatype="20" unbalanced="0">
      <fieldsUsage count="2">
        <fieldUsage x="-1"/>
        <fieldUsage x="3"/>
      </fieldsUsage>
    </cacheHierarchy>
    <cacheHierarchy uniqueName="[MASTERLIST].[SCHOLAR]" caption="SCHOLAR" attribute="1" defaultMemberUniqueName="[MASTERLIST].[SCHOLAR].[All]" allUniqueName="[MASTERLIST].[SCHOLAR].[All]" dimensionUniqueName="[MASTERLIST]" displayFolder="" count="0" memberValueDatatype="130" unbalanced="0"/>
    <cacheHierarchy uniqueName="[MASTERLIST].[STRAND]" caption="STRAND" attribute="1" defaultMemberUniqueName="[MASTERLIST].[STRAND].[All]" allUniqueName="[MASTERLIST].[STRAND].[All]" dimensionUniqueName="[MASTERLIST]" displayFolder="" count="0" memberValueDatatype="130" unbalanced="0"/>
    <cacheHierarchy uniqueName="[MASTERLIST].[Level_Num]" caption="Level_Num" attribute="1" defaultMemberUniqueName="[MASTERLIST].[Level_Num].[All]" allUniqueName="[MASTERLIST].[Level_Num].[All]" dimensionUniqueName="[MASTERLIST]" displayFolder="" count="2" memberValueDatatype="130" unbalanced="0">
      <fieldsUsage count="2">
        <fieldUsage x="-1"/>
        <fieldUsage x="1"/>
      </fieldsUsage>
    </cacheHierarchy>
    <cacheHierarchy uniqueName="[MASTERLIST].[category]" caption="category" attribute="1" defaultMemberUniqueName="[MASTERLIST].[category].[All]" allUniqueName="[MASTERLIST].[category].[All]" dimensionUniqueName="[MASTERLIST]" displayFolder="" count="0" memberValueDatatype="130" unbalanced="0"/>
    <cacheHierarchy uniqueName="[MASTERLIST].[Scholar_Num]" caption="Scholar_Num" attribute="1" defaultMemberUniqueName="[MASTERLIST].[Scholar_Num].[All]" allUniqueName="[MASTERLIST].[Scholar_Num].[All]" dimensionUniqueName="[MASTERLIST]" displayFolder="" count="0" memberValueDatatype="130" unbalanced="0"/>
    <cacheHierarchy uniqueName="[MASTERLIST].[Enroll_Count]" caption="Enroll_Count" attribute="1" defaultMemberUniqueName="[MASTERLIST].[Enroll_Count].[All]" allUniqueName="[MASTERLIST].[Enroll_Count].[All]" dimensionUniqueName="[MASTERLIST]" displayFolder="" count="0" memberValueDatatype="20" unbalanced="0"/>
    <cacheHierarchy uniqueName="[MASTERLIST].[First_Year]" caption="First_Year" attribute="1" defaultMemberUniqueName="[MASTERLIST].[First_Year].[All]" allUniqueName="[MASTERLIST].[First_Year].[All]" dimensionUniqueName="[MASTERLIST]" displayFolder="" count="0" memberValueDatatype="20" unbalanced="0"/>
    <cacheHierarchy uniqueName="[MASTERLIST].[First_Level]" caption="First_Level" attribute="1" defaultMemberUniqueName="[MASTERLIST].[First_Level].[All]" allUniqueName="[MASTERLIST].[First_Level].[All]" dimensionUniqueName="[MASTERLIST]" displayFolder="" count="0" memberValueDatatype="20" unbalanced="0"/>
    <cacheHierarchy uniqueName="[MASTERLIST].[Exclude_Flag]" caption="Exclude_Flag" attribute="1" defaultMemberUniqueName="[MASTERLIST].[Exclude_Flag].[All]" allUniqueName="[MASTERLIST].[Exclude_Flag].[All]" dimensionUniqueName="[MASTERLIST]" displayFolder="" count="0" memberValueDatatype="20" unbalanced="0"/>
    <cacheHierarchy uniqueName="[MASTERLIST].[Times_Enrolled]" caption="Times_Enrolled" attribute="1" defaultMemberUniqueName="[MASTERLIST].[Times_Enrolled].[All]" allUniqueName="[MASTERLIST].[Times_Enrolled].[All]" dimensionUniqueName="[MASTERLIST]" displayFolder="" count="0" memberValueDatatype="20" unbalanced="0"/>
    <cacheHierarchy uniqueName="[Measures].[Count of STUDENT NAME]" caption="Count of STUDENT NAME" measure="1" displayFolder="" measureGroup="MASTERLIST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MASTERLIS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nroll_Count]" caption="Sum of Enroll_Count" measure="1" displayFolder="" measureGroup="MASTERLIS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STUDENT NAME]" caption="Distinct Count of STUDENT NAME" measure="1" displayFolder="" measureGroup="MASTERLIS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Enroll_Count]" caption="Distinct Count of Enroll_Count" measure="1" displayFolder="" measureGroup="MASTERLIS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imes_Enrolled]" caption="Sum of Times_Enrolled" measure="1" displayFolder="" measureGroup="MASTERLIST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ew_Student]" caption="New_Student" measure="1" displayFolder="" measureGroup="MASTERLIST" count="0"/>
    <cacheHierarchy uniqueName="[Measures].[Old_Student]" caption="Old_Student" measure="1" displayFolder="" measureGroup="MASTERLIST" count="0"/>
    <cacheHierarchy uniqueName="[Measures].[Student Count]" caption="Student Count" measure="1" displayFolder="" measureGroup="MASTERLIST" count="0"/>
    <cacheHierarchy uniqueName="[Measures].[Distinct Student]" caption="Distinct Student" measure="1" displayFolder="" measureGroup="MASTERLIST" count="0"/>
    <cacheHierarchy uniqueName="[Measures].[__XL_Count MASTERLIST]" caption="__XL_Count MASTERLIST" measure="1" displayFolder="" measureGroup="MASTERLIST" count="0" hidden="1"/>
    <cacheHierarchy uniqueName="[Measures].[__No measures defined]" caption="__No measures defined" measure="1" displayFolder="" count="0" hidden="1"/>
  </cacheHierarchies>
  <kpis count="0"/>
  <dimensions count="2">
    <dimension name="MASTERLIST" uniqueName="[MASTERLIST]" caption="MASTERLIST"/>
    <dimension measure="1" name="Measures" uniqueName="[Measures]" caption="Measures"/>
  </dimensions>
  <measureGroups count="1">
    <measureGroup name="MASTERLIST" caption="MASTERLIS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00.83682546296" backgroundQuery="1" createdVersion="8" refreshedVersion="8" minRefreshableVersion="3" recordCount="0" supportSubquery="1" supportAdvancedDrill="1" xr:uid="{FA76D620-D14F-4619-9D7D-BA20351B9138}">
  <cacheSource type="external" connectionId="2"/>
  <cacheFields count="2">
    <cacheField name="[Measures].[Count of STUDENT NAME]" caption="Count of STUDENT NAME" numFmtId="0" hierarchy="13" level="32767"/>
    <cacheField name="[MASTERLIST].[YEAR].[YEAR]" caption="YEAR" numFmtId="0" hierarchy="2" level="1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MASTERLIST].[YEAR].&amp;[2021]"/>
            <x15:cachedUniqueName index="1" name="[MASTERLIST].[YEAR].&amp;[2022]"/>
            <x15:cachedUniqueName index="2" name="[MASTERLIST].[YEAR].&amp;[2023]"/>
            <x15:cachedUniqueName index="3" name="[MASTERLIST].[YEAR].&amp;[2024]"/>
            <x15:cachedUniqueName index="4" name="[MASTERLIST].[YEAR].&amp;[2025]"/>
          </x15:cachedUniqueNames>
        </ext>
      </extLst>
    </cacheField>
  </cacheFields>
  <cacheHierarchies count="25">
    <cacheHierarchy uniqueName="[MASTERLIST].[STUDENT NAME]" caption="STUDENT NAME" attribute="1" defaultMemberUniqueName="[MASTERLIST].[STUDENT NAME].[All]" allUniqueName="[MASTERLIST].[STUDENT NAME].[All]" dimensionUniqueName="[MASTERLIST]" displayFolder="" count="0" memberValueDatatype="130" unbalanced="0"/>
    <cacheHierarchy uniqueName="[MASTERLIST].[LEVEL]" caption="LEVEL" attribute="1" defaultMemberUniqueName="[MASTERLIST].[LEVEL].[All]" allUniqueName="[MASTERLIST].[LEVEL].[All]" dimensionUniqueName="[MASTERLIST]" displayFolder="" count="0" memberValueDatatype="130" unbalanced="0"/>
    <cacheHierarchy uniqueName="[MASTERLIST].[YEAR]" caption="YEAR" attribute="1" defaultMemberUniqueName="[MASTERLIST].[YEAR].[All]" allUniqueName="[MASTERLIST].[YEAR].[All]" dimensionUniqueName="[MASTERLIST]" displayFolder="" count="2" memberValueDatatype="20" unbalanced="0">
      <fieldsUsage count="2">
        <fieldUsage x="-1"/>
        <fieldUsage x="1"/>
      </fieldsUsage>
    </cacheHierarchy>
    <cacheHierarchy uniqueName="[MASTERLIST].[SCHOLAR]" caption="SCHOLAR" attribute="1" defaultMemberUniqueName="[MASTERLIST].[SCHOLAR].[All]" allUniqueName="[MASTERLIST].[SCHOLAR].[All]" dimensionUniqueName="[MASTERLIST]" displayFolder="" count="0" memberValueDatatype="130" unbalanced="0"/>
    <cacheHierarchy uniqueName="[MASTERLIST].[STRAND]" caption="STRAND" attribute="1" defaultMemberUniqueName="[MASTERLIST].[STRAND].[All]" allUniqueName="[MASTERLIST].[STRAND].[All]" dimensionUniqueName="[MASTERLIST]" displayFolder="" count="0" memberValueDatatype="130" unbalanced="0"/>
    <cacheHierarchy uniqueName="[MASTERLIST].[Level_Num]" caption="Level_Num" attribute="1" defaultMemberUniqueName="[MASTERLIST].[Level_Num].[All]" allUniqueName="[MASTERLIST].[Level_Num].[All]" dimensionUniqueName="[MASTERLIST]" displayFolder="" count="0" memberValueDatatype="130" unbalanced="0"/>
    <cacheHierarchy uniqueName="[MASTERLIST].[category]" caption="category" attribute="1" defaultMemberUniqueName="[MASTERLIST].[category].[All]" allUniqueName="[MASTERLIST].[category].[All]" dimensionUniqueName="[MASTERLIST]" displayFolder="" count="0" memberValueDatatype="130" unbalanced="0"/>
    <cacheHierarchy uniqueName="[MASTERLIST].[Scholar_Num]" caption="Scholar_Num" attribute="1" defaultMemberUniqueName="[MASTERLIST].[Scholar_Num].[All]" allUniqueName="[MASTERLIST].[Scholar_Num].[All]" dimensionUniqueName="[MASTERLIST]" displayFolder="" count="0" memberValueDatatype="130" unbalanced="0"/>
    <cacheHierarchy uniqueName="[MASTERLIST].[Enroll_Count]" caption="Enroll_Count" attribute="1" defaultMemberUniqueName="[MASTERLIST].[Enroll_Count].[All]" allUniqueName="[MASTERLIST].[Enroll_Count].[All]" dimensionUniqueName="[MASTERLIST]" displayFolder="" count="0" memberValueDatatype="20" unbalanced="0"/>
    <cacheHierarchy uniqueName="[MASTERLIST].[First_Year]" caption="First_Year" attribute="1" defaultMemberUniqueName="[MASTERLIST].[First_Year].[All]" allUniqueName="[MASTERLIST].[First_Year].[All]" dimensionUniqueName="[MASTERLIST]" displayFolder="" count="0" memberValueDatatype="20" unbalanced="0"/>
    <cacheHierarchy uniqueName="[MASTERLIST].[First_Level]" caption="First_Level" attribute="1" defaultMemberUniqueName="[MASTERLIST].[First_Level].[All]" allUniqueName="[MASTERLIST].[First_Level].[All]" dimensionUniqueName="[MASTERLIST]" displayFolder="" count="0" memberValueDatatype="20" unbalanced="0"/>
    <cacheHierarchy uniqueName="[MASTERLIST].[Exclude_Flag]" caption="Exclude_Flag" attribute="1" defaultMemberUniqueName="[MASTERLIST].[Exclude_Flag].[All]" allUniqueName="[MASTERLIST].[Exclude_Flag].[All]" dimensionUniqueName="[MASTERLIST]" displayFolder="" count="0" memberValueDatatype="20" unbalanced="0"/>
    <cacheHierarchy uniqueName="[MASTERLIST].[Times_Enrolled]" caption="Times_Enrolled" attribute="1" defaultMemberUniqueName="[MASTERLIST].[Times_Enrolled].[All]" allUniqueName="[MASTERLIST].[Times_Enrolled].[All]" dimensionUniqueName="[MASTERLIST]" displayFolder="" count="0" memberValueDatatype="20" unbalanced="0"/>
    <cacheHierarchy uniqueName="[Measures].[Count of STUDENT NAME]" caption="Count of STUDENT NAME" measure="1" displayFolder="" measureGroup="MASTERLIST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MASTERLIS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nroll_Count]" caption="Sum of Enroll_Count" measure="1" displayFolder="" measureGroup="MASTERLIS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STUDENT NAME]" caption="Distinct Count of STUDENT NAME" measure="1" displayFolder="" measureGroup="MASTERLIS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Enroll_Count]" caption="Distinct Count of Enroll_Count" measure="1" displayFolder="" measureGroup="MASTERLIS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imes_Enrolled]" caption="Sum of Times_Enrolled" measure="1" displayFolder="" measureGroup="MASTERLIST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ew_Student]" caption="New_Student" measure="1" displayFolder="" measureGroup="MASTERLIST" count="0"/>
    <cacheHierarchy uniqueName="[Measures].[Old_Student]" caption="Old_Student" measure="1" displayFolder="" measureGroup="MASTERLIST" count="0"/>
    <cacheHierarchy uniqueName="[Measures].[Student Count]" caption="Student Count" measure="1" displayFolder="" measureGroup="MASTERLIST" count="0"/>
    <cacheHierarchy uniqueName="[Measures].[Distinct Student]" caption="Distinct Student" measure="1" displayFolder="" measureGroup="MASTERLIST" count="0"/>
    <cacheHierarchy uniqueName="[Measures].[__XL_Count MASTERLIST]" caption="__XL_Count MASTERLIST" measure="1" displayFolder="" measureGroup="MASTERLIST" count="0" hidden="1"/>
    <cacheHierarchy uniqueName="[Measures].[__No measures defined]" caption="__No measures defined" measure="1" displayFolder="" count="0" hidden="1"/>
  </cacheHierarchies>
  <kpis count="0"/>
  <dimensions count="2">
    <dimension name="MASTERLIST" uniqueName="[MASTERLIST]" caption="MASTERLIST"/>
    <dimension measure="1" name="Measures" uniqueName="[Measures]" caption="Measures"/>
  </dimensions>
  <measureGroups count="1">
    <measureGroup name="MASTERLIST" caption="MASTERLIS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00.83682650463" backgroundQuery="1" createdVersion="8" refreshedVersion="8" minRefreshableVersion="3" recordCount="0" supportSubquery="1" supportAdvancedDrill="1" xr:uid="{977BABE0-0CC5-46DD-80A7-95E947CD6FC0}">
  <cacheSource type="external" connectionId="2"/>
  <cacheFields count="4">
    <cacheField name="[MASTERLIST].[Level_Num].[Level_Num]" caption="Level_Num" numFmtId="0" hierarchy="5" level="1">
      <sharedItems count="14">
        <s v="1"/>
        <s v="10"/>
        <s v="11"/>
        <s v="12"/>
        <s v="13"/>
        <s v="14"/>
        <s v="2"/>
        <s v="3"/>
        <s v="4"/>
        <s v="5"/>
        <s v="6"/>
        <s v="7"/>
        <s v="8"/>
        <s v="9"/>
      </sharedItems>
    </cacheField>
    <cacheField name="[MASTERLIST].[YEAR].[YEAR]" caption="YEAR" numFmtId="0" hierarchy="2" level="1">
      <sharedItems containsSemiMixedTypes="0" containsString="0" containsNumber="1" containsInteger="1" minValue="2022" maxValue="2025" count="4"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MASTERLIST].[YEAR].&amp;[2022]"/>
            <x15:cachedUniqueName index="1" name="[MASTERLIST].[YEAR].&amp;[2023]"/>
            <x15:cachedUniqueName index="2" name="[MASTERLIST].[YEAR].&amp;[2024]"/>
            <x15:cachedUniqueName index="3" name="[MASTERLIST].[YEAR].&amp;[2025]"/>
          </x15:cachedUniqueNames>
        </ext>
      </extLst>
    </cacheField>
    <cacheField name="[MASTERLIST].[STRAND].[STRAND]" caption="STRAND" numFmtId="0" hierarchy="4" level="1">
      <sharedItems count="5">
        <s v="ABM"/>
        <s v="HES"/>
        <s v="HUMSS"/>
        <s v="ICT"/>
        <s v="STEM"/>
      </sharedItems>
    </cacheField>
    <cacheField name="[Measures].[Count of STUDENT NAME]" caption="Count of STUDENT NAME" numFmtId="0" hierarchy="13" level="32767"/>
  </cacheFields>
  <cacheHierarchies count="25">
    <cacheHierarchy uniqueName="[MASTERLIST].[STUDENT NAME]" caption="STUDENT NAME" attribute="1" defaultMemberUniqueName="[MASTERLIST].[STUDENT NAME].[All]" allUniqueName="[MASTERLIST].[STUDENT NAME].[All]" dimensionUniqueName="[MASTERLIST]" displayFolder="" count="0" memberValueDatatype="130" unbalanced="0"/>
    <cacheHierarchy uniqueName="[MASTERLIST].[LEVEL]" caption="LEVEL" attribute="1" defaultMemberUniqueName="[MASTERLIST].[LEVEL].[All]" allUniqueName="[MASTERLIST].[LEVEL].[All]" dimensionUniqueName="[MASTERLIST]" displayFolder="" count="0" memberValueDatatype="130" unbalanced="0"/>
    <cacheHierarchy uniqueName="[MASTERLIST].[YEAR]" caption="YEAR" attribute="1" defaultMemberUniqueName="[MASTERLIST].[YEAR].[All]" allUniqueName="[MASTERLIST].[YEAR].[All]" dimensionUniqueName="[MASTERLIST]" displayFolder="" count="2" memberValueDatatype="20" unbalanced="0">
      <fieldsUsage count="2">
        <fieldUsage x="-1"/>
        <fieldUsage x="1"/>
      </fieldsUsage>
    </cacheHierarchy>
    <cacheHierarchy uniqueName="[MASTERLIST].[SCHOLAR]" caption="SCHOLAR" attribute="1" defaultMemberUniqueName="[MASTERLIST].[SCHOLAR].[All]" allUniqueName="[MASTERLIST].[SCHOLAR].[All]" dimensionUniqueName="[MASTERLIST]" displayFolder="" count="0" memberValueDatatype="130" unbalanced="0"/>
    <cacheHierarchy uniqueName="[MASTERLIST].[STRAND]" caption="STRAND" attribute="1" defaultMemberUniqueName="[MASTERLIST].[STRAND].[All]" allUniqueName="[MASTERLIST].[STRAND].[All]" dimensionUniqueName="[MASTERLIST]" displayFolder="" count="2" memberValueDatatype="130" unbalanced="0">
      <fieldsUsage count="2">
        <fieldUsage x="-1"/>
        <fieldUsage x="2"/>
      </fieldsUsage>
    </cacheHierarchy>
    <cacheHierarchy uniqueName="[MASTERLIST].[Level_Num]" caption="Level_Num" attribute="1" defaultMemberUniqueName="[MASTERLIST].[Level_Num].[All]" allUniqueName="[MASTERLIST].[Level_Num].[All]" dimensionUniqueName="[MASTERLIST]" displayFolder="" count="2" memberValueDatatype="130" unbalanced="0">
      <fieldsUsage count="2">
        <fieldUsage x="-1"/>
        <fieldUsage x="0"/>
      </fieldsUsage>
    </cacheHierarchy>
    <cacheHierarchy uniqueName="[MASTERLIST].[category]" caption="category" attribute="1" defaultMemberUniqueName="[MASTERLIST].[category].[All]" allUniqueName="[MASTERLIST].[category].[All]" dimensionUniqueName="[MASTERLIST]" displayFolder="" count="0" memberValueDatatype="130" unbalanced="0"/>
    <cacheHierarchy uniqueName="[MASTERLIST].[Scholar_Num]" caption="Scholar_Num" attribute="1" defaultMemberUniqueName="[MASTERLIST].[Scholar_Num].[All]" allUniqueName="[MASTERLIST].[Scholar_Num].[All]" dimensionUniqueName="[MASTERLIST]" displayFolder="" count="0" memberValueDatatype="130" unbalanced="0"/>
    <cacheHierarchy uniqueName="[MASTERLIST].[Enroll_Count]" caption="Enroll_Count" attribute="1" defaultMemberUniqueName="[MASTERLIST].[Enroll_Count].[All]" allUniqueName="[MASTERLIST].[Enroll_Count].[All]" dimensionUniqueName="[MASTERLIST]" displayFolder="" count="0" memberValueDatatype="20" unbalanced="0"/>
    <cacheHierarchy uniqueName="[MASTERLIST].[First_Year]" caption="First_Year" attribute="1" defaultMemberUniqueName="[MASTERLIST].[First_Year].[All]" allUniqueName="[MASTERLIST].[First_Year].[All]" dimensionUniqueName="[MASTERLIST]" displayFolder="" count="0" memberValueDatatype="20" unbalanced="0"/>
    <cacheHierarchy uniqueName="[MASTERLIST].[First_Level]" caption="First_Level" attribute="1" defaultMemberUniqueName="[MASTERLIST].[First_Level].[All]" allUniqueName="[MASTERLIST].[First_Level].[All]" dimensionUniqueName="[MASTERLIST]" displayFolder="" count="0" memberValueDatatype="20" unbalanced="0"/>
    <cacheHierarchy uniqueName="[MASTERLIST].[Exclude_Flag]" caption="Exclude_Flag" attribute="1" defaultMemberUniqueName="[MASTERLIST].[Exclude_Flag].[All]" allUniqueName="[MASTERLIST].[Exclude_Flag].[All]" dimensionUniqueName="[MASTERLIST]" displayFolder="" count="0" memberValueDatatype="20" unbalanced="0"/>
    <cacheHierarchy uniqueName="[MASTERLIST].[Times_Enrolled]" caption="Times_Enrolled" attribute="1" defaultMemberUniqueName="[MASTERLIST].[Times_Enrolled].[All]" allUniqueName="[MASTERLIST].[Times_Enrolled].[All]" dimensionUniqueName="[MASTERLIST]" displayFolder="" count="0" memberValueDatatype="20" unbalanced="0"/>
    <cacheHierarchy uniqueName="[Measures].[Count of STUDENT NAME]" caption="Count of STUDENT NAME" measure="1" displayFolder="" measureGroup="MASTERLIST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MASTERLIS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nroll_Count]" caption="Sum of Enroll_Count" measure="1" displayFolder="" measureGroup="MASTERLIS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STUDENT NAME]" caption="Distinct Count of STUDENT NAME" measure="1" displayFolder="" measureGroup="MASTERLIS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Enroll_Count]" caption="Distinct Count of Enroll_Count" measure="1" displayFolder="" measureGroup="MASTERLIS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imes_Enrolled]" caption="Sum of Times_Enrolled" measure="1" displayFolder="" measureGroup="MASTERLIST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ew_Student]" caption="New_Student" measure="1" displayFolder="" measureGroup="MASTERLIST" count="0"/>
    <cacheHierarchy uniqueName="[Measures].[Old_Student]" caption="Old_Student" measure="1" displayFolder="" measureGroup="MASTERLIST" count="0"/>
    <cacheHierarchy uniqueName="[Measures].[Student Count]" caption="Student Count" measure="1" displayFolder="" measureGroup="MASTERLIST" count="0"/>
    <cacheHierarchy uniqueName="[Measures].[Distinct Student]" caption="Distinct Student" measure="1" displayFolder="" measureGroup="MASTERLIST" count="0"/>
    <cacheHierarchy uniqueName="[Measures].[__XL_Count MASTERLIST]" caption="__XL_Count MASTERLIST" measure="1" displayFolder="" measureGroup="MASTERLIST" count="0" hidden="1"/>
    <cacheHierarchy uniqueName="[Measures].[__No measures defined]" caption="__No measures defined" measure="1" displayFolder="" count="0" hidden="1"/>
  </cacheHierarchies>
  <kpis count="0"/>
  <dimensions count="2">
    <dimension name="MASTERLIST" uniqueName="[MASTERLIST]" caption="MASTERLIST"/>
    <dimension measure="1" name="Measures" uniqueName="[Measures]" caption="Measures"/>
  </dimensions>
  <measureGroups count="1">
    <measureGroup name="MASTERLIST" caption="MASTERLIS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00.836827662039" backgroundQuery="1" createdVersion="8" refreshedVersion="8" minRefreshableVersion="3" recordCount="0" supportSubquery="1" supportAdvancedDrill="1" xr:uid="{4A1665D3-6119-4EC7-85EC-B817E5C9D1D8}">
  <cacheSource type="external" connectionId="2"/>
  <cacheFields count="5">
    <cacheField name="[MASTERLIST].[Level_Num].[Level_Num]" caption="Level_Num" numFmtId="0" hierarchy="5" level="1">
      <sharedItems count="14">
        <s v="1"/>
        <s v="10"/>
        <s v="11"/>
        <s v="12"/>
        <s v="13"/>
        <s v="14"/>
        <s v="2"/>
        <s v="3"/>
        <s v="4"/>
        <s v="5"/>
        <s v="6"/>
        <s v="7"/>
        <s v="8"/>
        <s v="9"/>
      </sharedItems>
    </cacheField>
    <cacheField name="[MASTERLIST].[YEAR].[YEAR]" caption="YEAR" numFmtId="0" hierarchy="2" level="1">
      <sharedItems containsSemiMixedTypes="0" containsString="0" containsNumber="1" containsInteger="1" minValue="2025" maxValue="2025" count="1">
        <n v="2025"/>
      </sharedItems>
      <extLst>
        <ext xmlns:x15="http://schemas.microsoft.com/office/spreadsheetml/2010/11/main" uri="{4F2E5C28-24EA-4eb8-9CBF-B6C8F9C3D259}">
          <x15:cachedUniqueNames>
            <x15:cachedUniqueName index="0" name="[MASTERLIST].[YEAR].&amp;[2025]"/>
          </x15:cachedUniqueNames>
        </ext>
      </extLst>
    </cacheField>
    <cacheField name="[MASTERLIST].[SCHOLAR].[SCHOLAR]" caption="SCHOLAR" numFmtId="0" hierarchy="3" level="1">
      <sharedItems count="4">
        <s v="REG"/>
        <s v="ESC"/>
        <s v="QVR"/>
        <s v="TLC"/>
      </sharedItems>
    </cacheField>
    <cacheField name="[Measures].[Count of STUDENT NAME]" caption="Count of STUDENT NAME" numFmtId="0" hierarchy="13" level="32767"/>
    <cacheField name="[MASTERLIST].[category].[category]" caption="category" numFmtId="0" hierarchy="6" level="1">
      <sharedItems count="4">
        <s v="ELEMENTARY"/>
        <s v="HIGH SCHOOL"/>
        <s v="KINDER"/>
        <s v="SENIOR HIGH SCHOOL"/>
      </sharedItems>
    </cacheField>
  </cacheFields>
  <cacheHierarchies count="25">
    <cacheHierarchy uniqueName="[MASTERLIST].[STUDENT NAME]" caption="STUDENT NAME" attribute="1" defaultMemberUniqueName="[MASTERLIST].[STUDENT NAME].[All]" allUniqueName="[MASTERLIST].[STUDENT NAME].[All]" dimensionUniqueName="[MASTERLIST]" displayFolder="" count="0" memberValueDatatype="130" unbalanced="0"/>
    <cacheHierarchy uniqueName="[MASTERLIST].[LEVEL]" caption="LEVEL" attribute="1" defaultMemberUniqueName="[MASTERLIST].[LEVEL].[All]" allUniqueName="[MASTERLIST].[LEVEL].[All]" dimensionUniqueName="[MASTERLIST]" displayFolder="" count="0" memberValueDatatype="130" unbalanced="0"/>
    <cacheHierarchy uniqueName="[MASTERLIST].[YEAR]" caption="YEAR" attribute="1" defaultMemberUniqueName="[MASTERLIST].[YEAR].[All]" allUniqueName="[MASTERLIST].[YEAR].[All]" dimensionUniqueName="[MASTERLIST]" displayFolder="" count="2" memberValueDatatype="20" unbalanced="0">
      <fieldsUsage count="2">
        <fieldUsage x="-1"/>
        <fieldUsage x="1"/>
      </fieldsUsage>
    </cacheHierarchy>
    <cacheHierarchy uniqueName="[MASTERLIST].[SCHOLAR]" caption="SCHOLAR" attribute="1" defaultMemberUniqueName="[MASTERLIST].[SCHOLAR].[All]" allUniqueName="[MASTERLIST].[SCHOLAR].[All]" dimensionUniqueName="[MASTERLIST]" displayFolder="" count="2" memberValueDatatype="130" unbalanced="0">
      <fieldsUsage count="2">
        <fieldUsage x="-1"/>
        <fieldUsage x="2"/>
      </fieldsUsage>
    </cacheHierarchy>
    <cacheHierarchy uniqueName="[MASTERLIST].[STRAND]" caption="STRAND" attribute="1" defaultMemberUniqueName="[MASTERLIST].[STRAND].[All]" allUniqueName="[MASTERLIST].[STRAND].[All]" dimensionUniqueName="[MASTERLIST]" displayFolder="" count="0" memberValueDatatype="130" unbalanced="0"/>
    <cacheHierarchy uniqueName="[MASTERLIST].[Level_Num]" caption="Level_Num" attribute="1" defaultMemberUniqueName="[MASTERLIST].[Level_Num].[All]" allUniqueName="[MASTERLIST].[Level_Num].[All]" dimensionUniqueName="[MASTERLIST]" displayFolder="" count="2" memberValueDatatype="130" unbalanced="0">
      <fieldsUsage count="2">
        <fieldUsage x="-1"/>
        <fieldUsage x="0"/>
      </fieldsUsage>
    </cacheHierarchy>
    <cacheHierarchy uniqueName="[MASTERLIST].[category]" caption="category" attribute="1" defaultMemberUniqueName="[MASTERLIST].[category].[All]" allUniqueName="[MASTERLIST].[category].[All]" dimensionUniqueName="[MASTERLIST]" displayFolder="" count="2" memberValueDatatype="130" unbalanced="0">
      <fieldsUsage count="2">
        <fieldUsage x="-1"/>
        <fieldUsage x="4"/>
      </fieldsUsage>
    </cacheHierarchy>
    <cacheHierarchy uniqueName="[MASTERLIST].[Scholar_Num]" caption="Scholar_Num" attribute="1" defaultMemberUniqueName="[MASTERLIST].[Scholar_Num].[All]" allUniqueName="[MASTERLIST].[Scholar_Num].[All]" dimensionUniqueName="[MASTERLIST]" displayFolder="" count="0" memberValueDatatype="130" unbalanced="0"/>
    <cacheHierarchy uniqueName="[MASTERLIST].[Enroll_Count]" caption="Enroll_Count" attribute="1" defaultMemberUniqueName="[MASTERLIST].[Enroll_Count].[All]" allUniqueName="[MASTERLIST].[Enroll_Count].[All]" dimensionUniqueName="[MASTERLIST]" displayFolder="" count="0" memberValueDatatype="20" unbalanced="0"/>
    <cacheHierarchy uniqueName="[MASTERLIST].[First_Year]" caption="First_Year" attribute="1" defaultMemberUniqueName="[MASTERLIST].[First_Year].[All]" allUniqueName="[MASTERLIST].[First_Year].[All]" dimensionUniqueName="[MASTERLIST]" displayFolder="" count="0" memberValueDatatype="20" unbalanced="0"/>
    <cacheHierarchy uniqueName="[MASTERLIST].[First_Level]" caption="First_Level" attribute="1" defaultMemberUniqueName="[MASTERLIST].[First_Level].[All]" allUniqueName="[MASTERLIST].[First_Level].[All]" dimensionUniqueName="[MASTERLIST]" displayFolder="" count="0" memberValueDatatype="20" unbalanced="0"/>
    <cacheHierarchy uniqueName="[MASTERLIST].[Exclude_Flag]" caption="Exclude_Flag" attribute="1" defaultMemberUniqueName="[MASTERLIST].[Exclude_Flag].[All]" allUniqueName="[MASTERLIST].[Exclude_Flag].[All]" dimensionUniqueName="[MASTERLIST]" displayFolder="" count="0" memberValueDatatype="20" unbalanced="0"/>
    <cacheHierarchy uniqueName="[MASTERLIST].[Times_Enrolled]" caption="Times_Enrolled" attribute="1" defaultMemberUniqueName="[MASTERLIST].[Times_Enrolled].[All]" allUniqueName="[MASTERLIST].[Times_Enrolled].[All]" dimensionUniqueName="[MASTERLIST]" displayFolder="" count="0" memberValueDatatype="20" unbalanced="0"/>
    <cacheHierarchy uniqueName="[Measures].[Count of STUDENT NAME]" caption="Count of STUDENT NAME" measure="1" displayFolder="" measureGroup="MASTERLIST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MASTERLIS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nroll_Count]" caption="Sum of Enroll_Count" measure="1" displayFolder="" measureGroup="MASTERLIS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STUDENT NAME]" caption="Distinct Count of STUDENT NAME" measure="1" displayFolder="" measureGroup="MASTERLIS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Enroll_Count]" caption="Distinct Count of Enroll_Count" measure="1" displayFolder="" measureGroup="MASTERLIS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imes_Enrolled]" caption="Sum of Times_Enrolled" measure="1" displayFolder="" measureGroup="MASTERLIST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ew_Student]" caption="New_Student" measure="1" displayFolder="" measureGroup="MASTERLIST" count="0"/>
    <cacheHierarchy uniqueName="[Measures].[Old_Student]" caption="Old_Student" measure="1" displayFolder="" measureGroup="MASTERLIST" count="0"/>
    <cacheHierarchy uniqueName="[Measures].[Student Count]" caption="Student Count" measure="1" displayFolder="" measureGroup="MASTERLIST" count="0"/>
    <cacheHierarchy uniqueName="[Measures].[Distinct Student]" caption="Distinct Student" measure="1" displayFolder="" measureGroup="MASTERLIST" count="0"/>
    <cacheHierarchy uniqueName="[Measures].[__XL_Count MASTERLIST]" caption="__XL_Count MASTERLIST" measure="1" displayFolder="" measureGroup="MASTERLIST" count="0" hidden="1"/>
    <cacheHierarchy uniqueName="[Measures].[__No measures defined]" caption="__No measures defined" measure="1" displayFolder="" count="0" hidden="1"/>
  </cacheHierarchies>
  <kpis count="0"/>
  <dimensions count="2">
    <dimension name="MASTERLIST" uniqueName="[MASTERLIST]" caption="MASTERLIST"/>
    <dimension measure="1" name="Measures" uniqueName="[Measures]" caption="Measures"/>
  </dimensions>
  <measureGroups count="1">
    <measureGroup name="MASTERLIST" caption="MASTERLIS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00.841810300924" backgroundQuery="1" createdVersion="8" refreshedVersion="8" minRefreshableVersion="3" recordCount="0" supportSubquery="1" supportAdvancedDrill="1" xr:uid="{91A6632E-EDA4-4B6A-BE73-6BD15F5905A4}">
  <cacheSource type="external" connectionId="2"/>
  <cacheFields count="7">
    <cacheField name="[MASTERLIST].[Level_Num].[Level_Num]" caption="Level_Num" numFmtId="0" hierarchy="5" level="1">
      <sharedItems count="14">
        <s v="1"/>
        <s v="10"/>
        <s v="11"/>
        <s v="12"/>
        <s v="13"/>
        <s v="14"/>
        <s v="2"/>
        <s v="3"/>
        <s v="4"/>
        <s v="5"/>
        <s v="6"/>
        <s v="7"/>
        <s v="8"/>
        <s v="9"/>
      </sharedItems>
    </cacheField>
    <cacheField name="[MASTERLIST].[YEAR].[YEAR]" caption="YEAR" numFmtId="0" hierarchy="2" level="1">
      <sharedItems containsSemiMixedTypes="0" containsString="0" containsNumber="1" containsInteger="1" minValue="2024" maxValue="2025" count="2"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MASTERLIST].[YEAR].&amp;[2024]"/>
            <x15:cachedUniqueName index="1" name="[MASTERLIST].[YEAR].&amp;[2025]"/>
          </x15:cachedUniqueNames>
        </ext>
      </extLst>
    </cacheField>
    <cacheField name="[MASTERLIST].[Enroll_Count].[Enroll_Count]" caption="Enroll_Count" numFmtId="0" hierarchy="8" level="1">
      <sharedItems containsSemiMixedTypes="0" containsString="0" containsNumber="1" containsInteger="1" minValue="2" maxValue="5" count="4"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MASTERLIST].[Enroll_Count].&amp;[2]"/>
            <x15:cachedUniqueName index="1" name="[MASTERLIST].[Enroll_Count].&amp;[3]"/>
            <x15:cachedUniqueName index="2" name="[MASTERLIST].[Enroll_Count].&amp;[4]"/>
            <x15:cachedUniqueName index="3" name="[MASTERLIST].[Enroll_Count].&amp;[5]"/>
          </x15:cachedUniqueNames>
        </ext>
      </extLst>
    </cacheField>
    <cacheField name="[MASTERLIST].[LEVEL].[LEVEL]" caption="LEVEL" numFmtId="0" hierarchy="1" level="1">
      <sharedItems containsSemiMixedTypes="0" containsNonDate="0" containsString="0"/>
    </cacheField>
    <cacheField name="[MASTERLIST].[Times_Enrolled].[Times_Enrolled]" caption="Times_Enrolled" numFmtId="0" hierarchy="12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MASTERLIST].[Times_Enrolled].&amp;[1]"/>
            <x15:cachedUniqueName index="1" name="[MASTERLIST].[Times_Enrolled].&amp;[2]"/>
            <x15:cachedUniqueName index="2" name="[MASTERLIST].[Times_Enrolled].&amp;[3]"/>
            <x15:cachedUniqueName index="3" name="[MASTERLIST].[Times_Enrolled].&amp;[4]"/>
            <x15:cachedUniqueName index="4" name="[MASTERLIST].[Times_Enrolled].&amp;[5]"/>
          </x15:cachedUniqueNames>
        </ext>
      </extLst>
    </cacheField>
    <cacheField name="[Measures].[Distinct Count of STUDENT NAME]" caption="Distinct Count of STUDENT NAME" numFmtId="0" hierarchy="16" level="32767"/>
    <cacheField name="[MASTERLIST].[Exclude_Flag].[Exclude_Flag]" caption="Exclude_Flag" numFmtId="0" hierarchy="11" level="1">
      <sharedItems containsSemiMixedTypes="0" containsNonDate="0" containsString="0"/>
    </cacheField>
  </cacheFields>
  <cacheHierarchies count="25">
    <cacheHierarchy uniqueName="[MASTERLIST].[STUDENT NAME]" caption="STUDENT NAME" attribute="1" defaultMemberUniqueName="[MASTERLIST].[STUDENT NAME].[All]" allUniqueName="[MASTERLIST].[STUDENT NAME].[All]" dimensionUniqueName="[MASTERLIST]" displayFolder="" count="0" memberValueDatatype="130" unbalanced="0"/>
    <cacheHierarchy uniqueName="[MASTERLIST].[LEVEL]" caption="LEVEL" attribute="1" defaultMemberUniqueName="[MASTERLIST].[LEVEL].[All]" allUniqueName="[MASTERLIST].[LEVEL].[All]" dimensionUniqueName="[MASTERLIST]" displayFolder="" count="2" memberValueDatatype="130" unbalanced="0">
      <fieldsUsage count="2">
        <fieldUsage x="-1"/>
        <fieldUsage x="3"/>
      </fieldsUsage>
    </cacheHierarchy>
    <cacheHierarchy uniqueName="[MASTERLIST].[YEAR]" caption="YEAR" attribute="1" defaultMemberUniqueName="[MASTERLIST].[YEAR].[All]" allUniqueName="[MASTERLIST].[YEAR].[All]" dimensionUniqueName="[MASTERLIST]" displayFolder="" count="2" memberValueDatatype="20" unbalanced="0">
      <fieldsUsage count="2">
        <fieldUsage x="-1"/>
        <fieldUsage x="1"/>
      </fieldsUsage>
    </cacheHierarchy>
    <cacheHierarchy uniqueName="[MASTERLIST].[SCHOLAR]" caption="SCHOLAR" attribute="1" defaultMemberUniqueName="[MASTERLIST].[SCHOLAR].[All]" allUniqueName="[MASTERLIST].[SCHOLAR].[All]" dimensionUniqueName="[MASTERLIST]" displayFolder="" count="0" memberValueDatatype="130" unbalanced="0"/>
    <cacheHierarchy uniqueName="[MASTERLIST].[STRAND]" caption="STRAND" attribute="1" defaultMemberUniqueName="[MASTERLIST].[STRAND].[All]" allUniqueName="[MASTERLIST].[STRAND].[All]" dimensionUniqueName="[MASTERLIST]" displayFolder="" count="0" memberValueDatatype="130" unbalanced="0"/>
    <cacheHierarchy uniqueName="[MASTERLIST].[Level_Num]" caption="Level_Num" attribute="1" defaultMemberUniqueName="[MASTERLIST].[Level_Num].[All]" allUniqueName="[MASTERLIST].[Level_Num].[All]" dimensionUniqueName="[MASTERLIST]" displayFolder="" count="2" memberValueDatatype="130" unbalanced="0">
      <fieldsUsage count="2">
        <fieldUsage x="-1"/>
        <fieldUsage x="0"/>
      </fieldsUsage>
    </cacheHierarchy>
    <cacheHierarchy uniqueName="[MASTERLIST].[category]" caption="category" attribute="1" defaultMemberUniqueName="[MASTERLIST].[category].[All]" allUniqueName="[MASTERLIST].[category].[All]" dimensionUniqueName="[MASTERLIST]" displayFolder="" count="0" memberValueDatatype="130" unbalanced="0"/>
    <cacheHierarchy uniqueName="[MASTERLIST].[Scholar_Num]" caption="Scholar_Num" attribute="1" defaultMemberUniqueName="[MASTERLIST].[Scholar_Num].[All]" allUniqueName="[MASTERLIST].[Scholar_Num].[All]" dimensionUniqueName="[MASTERLIST]" displayFolder="" count="0" memberValueDatatype="130" unbalanced="0"/>
    <cacheHierarchy uniqueName="[MASTERLIST].[Enroll_Count]" caption="Enroll_Count" attribute="1" defaultMemberUniqueName="[MASTERLIST].[Enroll_Count].[All]" allUniqueName="[MASTERLIST].[Enroll_Count].[All]" dimensionUniqueName="[MASTERLIST]" displayFolder="" count="2" memberValueDatatype="20" unbalanced="0">
      <fieldsUsage count="2">
        <fieldUsage x="-1"/>
        <fieldUsage x="2"/>
      </fieldsUsage>
    </cacheHierarchy>
    <cacheHierarchy uniqueName="[MASTERLIST].[First_Year]" caption="First_Year" attribute="1" defaultMemberUniqueName="[MASTERLIST].[First_Year].[All]" allUniqueName="[MASTERLIST].[First_Year].[All]" dimensionUniqueName="[MASTERLIST]" displayFolder="" count="0" memberValueDatatype="20" unbalanced="0"/>
    <cacheHierarchy uniqueName="[MASTERLIST].[First_Level]" caption="First_Level" attribute="1" defaultMemberUniqueName="[MASTERLIST].[First_Level].[All]" allUniqueName="[MASTERLIST].[First_Level].[All]" dimensionUniqueName="[MASTERLIST]" displayFolder="" count="0" memberValueDatatype="20" unbalanced="0"/>
    <cacheHierarchy uniqueName="[MASTERLIST].[Exclude_Flag]" caption="Exclude_Flag" attribute="1" defaultMemberUniqueName="[MASTERLIST].[Exclude_Flag].[All]" allUniqueName="[MASTERLIST].[Exclude_Flag].[All]" dimensionUniqueName="[MASTERLIST]" displayFolder="" count="2" memberValueDatatype="20" unbalanced="0">
      <fieldsUsage count="2">
        <fieldUsage x="-1"/>
        <fieldUsage x="6"/>
      </fieldsUsage>
    </cacheHierarchy>
    <cacheHierarchy uniqueName="[MASTERLIST].[Times_Enrolled]" caption="Times_Enrolled" attribute="1" defaultMemberUniqueName="[MASTERLIST].[Times_Enrolled].[All]" allUniqueName="[MASTERLIST].[Times_Enrolled].[All]" dimensionUniqueName="[MASTERLIST]" displayFolder="" count="2" memberValueDatatype="20" unbalanced="0">
      <fieldsUsage count="2">
        <fieldUsage x="-1"/>
        <fieldUsage x="4"/>
      </fieldsUsage>
    </cacheHierarchy>
    <cacheHierarchy uniqueName="[Measures].[Count of STUDENT NAME]" caption="Count of STUDENT NAME" measure="1" displayFolder="" measureGroup="MASTERLIS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MASTERLIST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nroll_Count]" caption="Sum of Enroll_Count" measure="1" displayFolder="" measureGroup="MASTERLIS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STUDENT NAME]" caption="Distinct Count of STUDENT NAME" measure="1" displayFolder="" measureGroup="MASTERLIST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Enroll_Count]" caption="Distinct Count of Enroll_Count" measure="1" displayFolder="" measureGroup="MASTERLIST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imes_Enrolled]" caption="Sum of Times_Enrolled" measure="1" displayFolder="" measureGroup="MASTERLIST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ew_Student]" caption="New_Student" measure="1" displayFolder="" measureGroup="MASTERLIST" count="0"/>
    <cacheHierarchy uniqueName="[Measures].[Old_Student]" caption="Old_Student" measure="1" displayFolder="" measureGroup="MASTERLIST" count="0"/>
    <cacheHierarchy uniqueName="[Measures].[Student Count]" caption="Student Count" measure="1" displayFolder="" measureGroup="MASTERLIST" count="0"/>
    <cacheHierarchy uniqueName="[Measures].[Distinct Student]" caption="Distinct Student" measure="1" displayFolder="" measureGroup="MASTERLIST" count="0"/>
    <cacheHierarchy uniqueName="[Measures].[__XL_Count MASTERLIST]" caption="__XL_Count MASTERLIST" measure="1" displayFolder="" measureGroup="MASTERLIST" count="0" hidden="1"/>
    <cacheHierarchy uniqueName="[Measures].[__No measures defined]" caption="__No measures defined" measure="1" displayFolder="" count="0" hidden="1"/>
  </cacheHierarchies>
  <kpis count="0"/>
  <dimensions count="2">
    <dimension name="MASTERLIST" uniqueName="[MASTERLIST]" caption="MASTERLIST"/>
    <dimension measure="1" name="Measures" uniqueName="[Measures]" caption="Measures"/>
  </dimensions>
  <measureGroups count="1">
    <measureGroup name="MASTERLIST" caption="MASTERLIS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61A46-B6E5-475F-8316-5F74C4259DFA}" name="2024-2025 student comparizon" cacheId="1" applyNumberFormats="0" applyBorderFormats="0" applyFontFormats="0" applyPatternFormats="0" applyAlignmentFormats="0" applyWidthHeightFormats="1" dataCaption="Values" tag="a34e2760-f771-49c7-9c2d-4dbf18c650a8" updatedVersion="8" minRefreshableVersion="3" useAutoFormatting="1" subtotalHiddenItems="1" rowGrandTotals="0" colGrandTotals="0" itemPrintTitles="1" createdVersion="8" indent="0" compact="0" compactData="0" multipleFieldFilters="0" chartFormat="12">
  <location ref="K4:M19" firstHeaderRow="1" firstDataRow="2" firstDataCol="1"/>
  <pivotFields count="4">
    <pivotField dataField="1" compact="0" outline="0" subtotalTop="0" showAll="0" defaultSubtotal="0"/>
    <pivotField compact="0" allDrilled="1" outline="0" subtotalTop="0" showAll="0" sortType="ascending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allDrilled="1" outline="0" subtotalTop="0" showAll="0" defaultSubtotal="0" defaultAttributeDrillState="1">
      <items count="14">
        <item x="0"/>
        <item x="6"/>
        <item x="7"/>
        <item x="8"/>
        <item x="9"/>
        <item x="10"/>
        <item x="11"/>
        <item x="12"/>
        <item x="13"/>
        <item x="1"/>
        <item x="2"/>
        <item x="3"/>
        <item x="4"/>
        <item x="5"/>
      </items>
    </pivotField>
    <pivotField axis="axisCol" compact="0" allDrilled="1" outline="0" subtotalTop="0" showAll="0" dataSourceSort="1" defaultSubtotal="0" defaultAttributeDrillState="1">
      <items count="2">
        <item s="1" x="0"/>
        <item s="1" x="1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3"/>
  </colFields>
  <colItems count="2">
    <i>
      <x/>
    </i>
    <i>
      <x v="1"/>
    </i>
  </colItems>
  <dataFields count="1">
    <dataField name="Count of STUDENT NAME" fld="0" subtotal="count" baseField="0" baseItem="0"/>
  </dataFields>
  <formats count="16">
    <format dxfId="15">
      <pivotArea dataOnly="0" labelOnly="1" outline="0" axis="axisValues" fieldPosition="0"/>
    </format>
    <format dxfId="14">
      <pivotArea dataOnly="0" labelOnly="1" outline="0" axis="axisValues" fieldPosition="0"/>
    </format>
    <format dxfId="13">
      <pivotArea outline="0" collapsedLevelsAreSubtotals="1" fieldPosition="0"/>
    </format>
    <format dxfId="12">
      <pivotArea field="2" type="button" dataOnly="0" labelOnly="1" outline="0" axis="axisRow" fieldPosition="0"/>
    </format>
    <format dxfId="11">
      <pivotArea dataOnly="0" labelOnly="1" outline="0" fieldPosition="0">
        <references count="1">
          <reference field="2" count="0"/>
        </references>
      </pivotArea>
    </format>
    <format dxfId="10">
      <pivotArea dataOnly="0" labelOnly="1" outline="0" fieldPosition="0">
        <references count="1">
          <reference field="3" count="0"/>
        </references>
      </pivotArea>
    </format>
    <format dxfId="9">
      <pivotArea outline="0" collapsedLevelsAreSubtotals="1" fieldPosition="0"/>
    </format>
    <format dxfId="8">
      <pivotArea field="2" type="button" dataOnly="0" labelOnly="1" outline="0" axis="axisRow" fieldPosition="0"/>
    </format>
    <format dxfId="7">
      <pivotArea dataOnly="0" labelOnly="1" outline="0" fieldPosition="0">
        <references count="1">
          <reference field="2" count="0"/>
        </references>
      </pivotArea>
    </format>
    <format dxfId="6">
      <pivotArea dataOnly="0" labelOnly="1" outline="0" fieldPosition="0">
        <references count="1">
          <reference field="3" count="0"/>
        </references>
      </pivotArea>
    </format>
    <format dxfId="5">
      <pivotArea field="2" type="button" dataOnly="0" labelOnly="1" outline="0" axis="axisRow" fieldPosition="0"/>
    </format>
    <format dxfId="4">
      <pivotArea dataOnly="0" labelOnly="1" outline="0" fieldPosition="0">
        <references count="1">
          <reference field="3" count="0"/>
        </references>
      </pivotArea>
    </format>
    <format dxfId="3">
      <pivotArea field="2" type="button" dataOnly="0" labelOnly="1" outline="0" axis="axisRow" fieldPosition="0"/>
    </format>
    <format dxfId="2">
      <pivotArea dataOnly="0" labelOnly="1" outline="0" fieldPosition="0">
        <references count="1">
          <reference field="3" count="0"/>
        </references>
      </pivotArea>
    </format>
    <format dxfId="1">
      <pivotArea field="2" type="button" dataOnly="0" labelOnly="1" outline="0" axis="axisRow" fieldPosition="0"/>
    </format>
    <format dxfId="0">
      <pivotArea dataOnly="0" labelOnly="1" outline="0" fieldPosition="0">
        <references count="1">
          <reference field="3" count="0"/>
        </references>
      </pivotArea>
    </format>
  </formats>
  <chartFormats count="3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Hierarchies count="25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STERL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7FF7A-7A0C-433B-B2BF-7FC743F9A5A8}" name="Student_Count_Year" cacheId="2" applyNumberFormats="0" applyBorderFormats="0" applyFontFormats="0" applyPatternFormats="0" applyAlignmentFormats="0" applyWidthHeightFormats="1" dataCaption="Values" tag="88079ab2-827f-4176-86af-9aff074b40e0" updatedVersion="8" minRefreshableVersion="3" useAutoFormatting="1" subtotalHiddenItems="1" rowGrandTotals="0" colGrandTotals="0" itemPrintTitles="1" createdVersion="8" indent="0" compact="0" compactData="0" multipleFieldFilters="0" chartFormat="8">
  <location ref="B4:C9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TUDENT NAME" fld="0" subtotal="count" baseField="1" baseItem="0"/>
  </dataFields>
  <formats count="4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</formats>
  <chartFormats count="6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TUDENT NAME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STERL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581D0-F1D7-4E36-B505-5AEFE0A63858}" name="2025 STAND DISTRIBUTION" cacheId="3" applyNumberFormats="0" applyBorderFormats="0" applyFontFormats="0" applyPatternFormats="0" applyAlignmentFormats="0" applyWidthHeightFormats="1" dataCaption="Values" tag="28b25aa5-4dc3-4d4c-8bdf-ba0d6c7c6f44" updatedVersion="8" minRefreshableVersion="3" useAutoFormatting="1" subtotalHiddenItems="1" rowGrandTotals="0" colGrandTotals="0" itemPrintTitles="1" createdVersion="8" indent="0" compact="0" compactData="0" multipleFieldFilters="0" chartFormat="26">
  <location ref="BA5:BB10" firstHeaderRow="1" firstDataRow="1" firstDataCol="1" rowPageCount="1" colPageCount="1"/>
  <pivotFields count="4">
    <pivotField compact="0" allDrilled="1" outline="0" subtotalTop="0" showAll="0" sortType="ascending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Page" compact="0" allDrilled="1" outline="0" subtotalTop="0" showAll="0" dataSourceSort="1" defaultSubtotal="0" defaultAttributeDrillState="1">
      <items count="4">
        <item x="0"/>
        <item x="1"/>
        <item x="2"/>
        <item s="1" x="3"/>
      </items>
    </pivotField>
    <pivotField axis="axisRow" compact="0" allDrilled="1" outline="0" subtotalTop="0" showAll="0" sortType="descending" defaultSubtotal="0" defaultAttributeDrillState="1">
      <items count="5">
        <item s="1" x="0"/>
        <item s="1" x="1"/>
        <item s="1" x="2"/>
        <item s="1" x="3"/>
        <item s="1"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</pivotFields>
  <rowFields count="1">
    <field x="2"/>
  </rowFields>
  <rowItems count="5">
    <i>
      <x v="2"/>
    </i>
    <i>
      <x v="4"/>
    </i>
    <i>
      <x/>
    </i>
    <i>
      <x v="3"/>
    </i>
    <i>
      <x v="1"/>
    </i>
  </rowItems>
  <colItems count="1">
    <i/>
  </colItems>
  <pageFields count="1">
    <pageField fld="1" hier="2" name="[MASTERLIST].[YEAR].&amp;[2025]" cap="2025"/>
  </pageFields>
  <dataFields count="1">
    <dataField name="Count of STUDENT NAME" fld="3" subtotal="count" baseField="0" baseItem="0"/>
  </dataFields>
  <formats count="10">
    <format dxfId="29">
      <pivotArea dataOnly="0" labelOnly="1" outline="0" axis="axisValues" fieldPosition="0"/>
    </format>
    <format dxfId="28">
      <pivotArea dataOnly="0" labelOnly="1" outline="0" axis="axisValues" fieldPosition="0"/>
    </format>
    <format dxfId="27">
      <pivotArea field="1" type="button" dataOnly="0" labelOnly="1" outline="0" axis="axisPage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Page" fieldPosition="0"/>
    </format>
    <format dxfId="23">
      <pivotArea field="1" type="button" dataOnly="0" labelOnly="1" outline="0" axis="axisPage" fieldPosition="0"/>
    </format>
    <format dxfId="22">
      <pivotArea field="1" type="button" dataOnly="0" labelOnly="1" outline="0" axis="axisPage" fieldPosition="0"/>
    </format>
    <format dxfId="21">
      <pivotArea field="2" type="button" dataOnly="0" labelOnly="1" outline="0" axis="axisRow" fieldPosition="0"/>
    </format>
    <format dxfId="20">
      <pivotArea dataOnly="0" labelOnly="1" outline="0" fieldPosition="0">
        <references count="1">
          <reference field="1" count="0"/>
        </references>
      </pivotArea>
    </format>
  </formats>
  <chartFormats count="6"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25">
    <pivotHierarchy dragToData="1"/>
    <pivotHierarchy dragToData="1"/>
    <pivotHierarchy multipleItemSelectionAllowed="1" dragToData="1"/>
    <pivotHierarchy dragToData="1"/>
    <pivotHierarchy dragToData="1">
      <members count="7" level="1">
        <member name=""/>
        <member name="[MASTERLIST].[STRAND].&amp;[GAS]"/>
        <member name=""/>
        <member name=""/>
        <member name="[MASTERLIST].[STRAND].&amp;[ABMS]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STERL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6E927-C355-4F39-ADBA-B4E031D5CB5F}" name="SCHOLARSHIP TYPE" cacheId="4" applyNumberFormats="0" applyBorderFormats="0" applyFontFormats="0" applyPatternFormats="0" applyAlignmentFormats="0" applyWidthHeightFormats="1" dataCaption="Values" tag="7f5b516c-2fb5-48fe-8347-0b2f020ab76e" updatedVersion="8" minRefreshableVersion="3" useAutoFormatting="1" subtotalHiddenItems="1" rowGrandTotals="0" colGrandTotals="0" itemPrintTitles="1" createdVersion="8" indent="0" compact="0" compactData="0" multipleFieldFilters="0" chartFormat="22">
  <location ref="AP5:AT11" firstHeaderRow="1" firstDataRow="3" firstDataCol="1"/>
  <pivotFields count="5">
    <pivotField compact="0" allDrilled="1" outline="0" subtotalTop="0" showAll="0" sortType="ascending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Col" compact="0" allDrilled="1" outline="0" subtotalTop="0" showAll="0" dataSourceSort="1" defaultSubtotal="0" defaultAttributeDrillState="1">
      <items count="1">
        <item s="1" x="0"/>
      </items>
    </pivotField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4"/>
  </rowFields>
  <rowItems count="4">
    <i>
      <x/>
    </i>
    <i>
      <x v="1"/>
    </i>
    <i>
      <x v="2"/>
    </i>
    <i>
      <x v="3"/>
    </i>
  </rowItems>
  <colFields count="2">
    <field x="1"/>
    <field x="2"/>
  </colFields>
  <colItems count="4">
    <i>
      <x/>
      <x/>
    </i>
    <i r="1">
      <x v="1"/>
    </i>
    <i r="1">
      <x v="2"/>
    </i>
    <i r="1">
      <x v="3"/>
    </i>
  </colItems>
  <dataFields count="1">
    <dataField name="Count of STUDENT NAME" fld="3" subtotal="count" baseField="0" baseItem="0"/>
  </dataFields>
  <formats count="14">
    <format dxfId="43">
      <pivotArea dataOnly="0" labelOnly="1" outline="0" axis="axisValues" fieldPosition="0"/>
    </format>
    <format dxfId="42">
      <pivotArea dataOnly="0" labelOnly="1" outline="0" axis="axisValues" fieldPosition="0"/>
    </format>
    <format dxfId="41">
      <pivotArea field="1" type="button" dataOnly="0" labelOnly="1" outline="0" axis="axisCol" fieldPosition="0"/>
    </format>
    <format dxfId="40">
      <pivotArea type="all" dataOnly="0" outline="0" fieldPosition="0"/>
    </format>
    <format dxfId="39">
      <pivotArea field="1" type="button" dataOnly="0" labelOnly="1" outline="0" axis="axisCol" fieldPosition="0"/>
    </format>
    <format dxfId="38">
      <pivotArea field="1" type="button" dataOnly="0" labelOnly="1" outline="0" axis="axisCol" fieldPosition="0"/>
    </format>
    <format dxfId="37">
      <pivotArea field="2" type="button" dataOnly="0" labelOnly="1" outline="0" axis="axisCol" fieldPosition="1"/>
    </format>
    <format dxfId="36">
      <pivotArea dataOnly="0" labelOnly="1" outline="0" fieldPosition="0">
        <references count="1">
          <reference field="1" count="0"/>
        </references>
      </pivotArea>
    </format>
    <format dxfId="35">
      <pivotArea outline="0" collapsedLevelsAreSubtotals="1" fieldPosition="0"/>
    </format>
    <format dxfId="34">
      <pivotArea field="2" type="button" dataOnly="0" labelOnly="1" outline="0" axis="axisCol" fieldPosition="1"/>
    </format>
    <format dxfId="33">
      <pivotArea dataOnly="0" labelOnly="1" outline="0" fieldPosition="0">
        <references count="1">
          <reference field="2" count="0"/>
        </references>
      </pivotArea>
    </format>
    <format dxfId="32">
      <pivotArea dataOnly="0" labelOnly="1" outline="0" fieldPosition="0">
        <references count="1">
          <reference field="1" count="0"/>
        </references>
      </pivotArea>
    </format>
    <format dxfId="31">
      <pivotArea field="4" type="button" dataOnly="0" labelOnly="1" outline="0" axis="axisRow" fieldPosition="0"/>
    </format>
    <format dxfId="30">
      <pivotArea dataOnly="0" labelOnly="1" outline="0" fieldPosition="0">
        <references count="2">
          <reference field="1" count="0" selected="0"/>
          <reference field="2" count="0"/>
        </references>
      </pivotArea>
    </format>
  </formats>
  <pivotHierarchies count="25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2">
    <colHierarchyUsage hierarchyUsage="2"/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STERL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171BD-5468-40E4-ACAC-A99D05B82BAE}" name="New Student Vs Old Student" cacheId="0" applyNumberFormats="0" applyBorderFormats="0" applyFontFormats="0" applyPatternFormats="0" applyAlignmentFormats="0" applyWidthHeightFormats="1" dataCaption="Values" tag="2b19ce50-89ac-4c7b-8d81-ed02bb7c3d34" updatedVersion="8" minRefreshableVersion="3" useAutoFormatting="1" subtotalHiddenItems="1" rowGrandTotals="0" colGrandTotals="0" itemPrintTitles="1" createdVersion="8" indent="0" compact="0" compactData="0" multipleFieldFilters="0" chartFormat="22">
  <location ref="AG5:AI9" firstHeaderRow="0" firstDataRow="1" firstDataCol="1"/>
  <pivotFields count="4">
    <pivotField compact="0" allDrilled="1" outline="0" subtotalTop="0" showAll="0" sortType="ascending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3" subtotal="count" baseField="0" baseItem="0"/>
  </dataFields>
  <formats count="12">
    <format dxfId="55">
      <pivotArea dataOnly="0" labelOnly="1" outline="0" axis="axisValues" fieldPosition="0"/>
    </format>
    <format dxfId="54">
      <pivotArea dataOnly="0" labelOnly="1" outline="0" axis="axisValues" fieldPosition="0"/>
    </format>
    <format dxfId="53">
      <pivotArea field="1" type="button" dataOnly="0" labelOnly="1" outline="0" axis="axisRow" fieldPosition="0"/>
    </format>
    <format dxfId="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" type="button" dataOnly="0" labelOnly="1" outline="0" axis="axisRow" fieldPosition="0"/>
    </format>
    <format dxfId="48">
      <pivotArea dataOnly="0" labelOnly="1" outline="0" fieldPosition="0">
        <references count="1">
          <reference field="1" count="0"/>
        </references>
      </pivotArea>
    </format>
    <format dxfId="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">
      <pivotArea field="1" type="button" dataOnly="0" labelOnly="1" outline="0" axis="axisRow" fieldPosition="0"/>
    </format>
    <format dxfId="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7"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25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STERL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3B429-0D31-4915-839C-A714B916DB02}" name="Enroll_Count" cacheId="5" applyNumberFormats="0" applyBorderFormats="0" applyFontFormats="0" applyPatternFormats="0" applyAlignmentFormats="0" applyWidthHeightFormats="1" dataCaption="Values" tag="f63bab9c-7978-499e-8b7a-a500cf56ba05" updatedVersion="8" minRefreshableVersion="3" useAutoFormatting="1" subtotalHiddenItems="1" rowGrandTotals="0" colGrandTotals="0" itemPrintTitles="1" createdVersion="8" indent="0" compact="0" compactData="0" multipleFieldFilters="0" chartFormat="15">
  <location ref="Z5:AA10" firstHeaderRow="1" firstDataRow="1" firstDataCol="1" rowPageCount="1" colPageCount="1"/>
  <pivotFields count="7">
    <pivotField compact="0" allDrilled="1" outline="0" subtotalTop="0" showAll="0" sortType="ascending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allDrilled="1" outline="0" subtotalTop="0" showAll="0" dataSourceSort="1" defaultSubtotal="0" defaultAttributeDrillState="1">
      <items count="2">
        <item s="1" x="0"/>
        <item s="1" x="1"/>
      </items>
    </pivotField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6" hier="11" name="[MASTERLIST].[Exclude_Flag].&amp;[0]" cap="0"/>
  </pageFields>
  <dataFields count="1">
    <dataField name="Distinct Count of STUDENT NAME" fld="5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7">
    <format dxfId="62">
      <pivotArea field="4" type="button" dataOnly="0" labelOnly="1" outline="0" axis="axisRow" fieldPosition="0"/>
    </format>
    <format dxfId="61">
      <pivotArea dataOnly="0" labelOnly="1" outline="0" axis="axisValues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4" type="button" dataOnly="0" labelOnly="1" outline="0" axis="axisRow" fieldPosition="0"/>
    </format>
    <format dxfId="57">
      <pivotArea dataOnly="0" labelOnly="1" outline="0" fieldPosition="0">
        <references count="1">
          <reference field="4" count="0"/>
        </references>
      </pivotArea>
    </format>
    <format dxfId="56">
      <pivotArea dataOnly="0" labelOnly="1" outline="0" axis="axisValues" fieldPosition="0"/>
    </format>
  </formats>
  <chartFormats count="6">
    <chartFormat chart="1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Hierarchies count="25">
    <pivotHierarchy dragToData="1"/>
    <pivotHierarchy multipleItemSelectionAllowed="1" dragToData="1">
      <members count="9" level="1">
        <member name="[MASTERLIST].[LEVEL].&amp;[GRADE-I]"/>
        <member name="[MASTERLIST].[LEVEL].&amp;[GRADE-V]"/>
        <member name="[MASTERLIST].[LEVEL].&amp;[GRADE-II]"/>
        <member name="[MASTERLIST].[LEVEL].&amp;[GRADE-IV]"/>
        <member name="[MASTERLIST].[LEVEL].&amp;[GRADE-VI]"/>
        <member name="[MASTERLIST].[LEVEL].&amp;[KINDER-I]"/>
        <member name="[MASTERLIST].[LEVEL].&amp;[GRADE-III]"/>
        <member name="[MASTERLIST].[LEVEL].&amp;[GRADE-VII]"/>
        <member name="[MASTERLIST].[LEVEL].&amp;[KINDER-II]"/>
      </members>
    </pivotHierarchy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STERL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720D-7A5F-4047-9ACA-C18188002F15}">
  <dimension ref="B1:BD1898"/>
  <sheetViews>
    <sheetView topLeftCell="AC1" workbookViewId="0">
      <selection activeCell="AK13" sqref="AK13"/>
    </sheetView>
  </sheetViews>
  <sheetFormatPr defaultRowHeight="14.4" x14ac:dyDescent="0.3"/>
  <cols>
    <col min="2" max="2" width="7.5546875" bestFit="1" customWidth="1"/>
    <col min="3" max="3" width="14.77734375" bestFit="1" customWidth="1"/>
    <col min="8" max="8" width="5.77734375" customWidth="1"/>
    <col min="9" max="9" width="5.77734375" style="6" customWidth="1"/>
    <col min="10" max="10" width="5.77734375" customWidth="1"/>
    <col min="11" max="11" width="22.77734375" bestFit="1" customWidth="1"/>
    <col min="12" max="12" width="7.5546875" bestFit="1" customWidth="1"/>
    <col min="13" max="13" width="5" bestFit="1" customWidth="1"/>
    <col min="14" max="16" width="5" customWidth="1"/>
    <col min="20" max="20" width="11.109375" bestFit="1" customWidth="1"/>
    <col min="21" max="21" width="10.77734375" bestFit="1" customWidth="1"/>
    <col min="23" max="23" width="5.77734375" customWidth="1"/>
    <col min="24" max="24" width="5.77734375" style="6" customWidth="1"/>
    <col min="25" max="25" width="5.77734375" customWidth="1"/>
    <col min="26" max="26" width="16.109375" bestFit="1" customWidth="1"/>
    <col min="27" max="27" width="29.6640625" bestFit="1" customWidth="1"/>
    <col min="28" max="28" width="4.44140625" bestFit="1" customWidth="1"/>
    <col min="29" max="29" width="5.77734375" customWidth="1"/>
    <col min="30" max="30" width="5.77734375" style="6" customWidth="1"/>
    <col min="31" max="31" width="5.77734375" customWidth="1"/>
    <col min="33" max="33" width="7.5546875" bestFit="1" customWidth="1"/>
    <col min="34" max="34" width="12.44140625" bestFit="1" customWidth="1"/>
    <col min="35" max="36" width="11.5546875" bestFit="1" customWidth="1"/>
    <col min="37" max="37" width="11.5546875" customWidth="1"/>
    <col min="38" max="38" width="5.77734375" customWidth="1"/>
    <col min="39" max="39" width="5.77734375" style="6" customWidth="1"/>
    <col min="40" max="40" width="5.77734375" customWidth="1"/>
    <col min="42" max="42" width="22.77734375" bestFit="1" customWidth="1"/>
    <col min="43" max="46" width="11.109375" bestFit="1" customWidth="1"/>
    <col min="47" max="48" width="21.5546875" bestFit="1" customWidth="1"/>
    <col min="49" max="49" width="5.77734375" customWidth="1"/>
    <col min="50" max="50" width="5.77734375" style="6" customWidth="1"/>
    <col min="51" max="51" width="5.77734375" customWidth="1"/>
    <col min="53" max="53" width="10.109375" bestFit="1" customWidth="1"/>
    <col min="54" max="54" width="22.77734375" bestFit="1" customWidth="1"/>
    <col min="55" max="55" width="11.77734375" bestFit="1" customWidth="1"/>
    <col min="56" max="56" width="8.109375" bestFit="1" customWidth="1"/>
    <col min="57" max="58" width="5" bestFit="1" customWidth="1"/>
    <col min="59" max="61" width="12.44140625" bestFit="1" customWidth="1"/>
  </cols>
  <sheetData>
    <row r="1" spans="2:56" ht="15" thickBot="1" x14ac:dyDescent="0.35"/>
    <row r="2" spans="2:56" ht="15" thickBot="1" x14ac:dyDescent="0.35">
      <c r="C2" s="7" t="s">
        <v>16</v>
      </c>
      <c r="BA2" s="51" t="s">
        <v>64</v>
      </c>
      <c r="BB2" s="51"/>
    </row>
    <row r="3" spans="2:56" ht="15" thickBot="1" x14ac:dyDescent="0.35">
      <c r="K3" s="63" t="s">
        <v>65</v>
      </c>
      <c r="L3" s="63"/>
      <c r="Z3" s="1" t="s">
        <v>68</v>
      </c>
      <c r="AA3" t="s" vm="2">
        <v>69</v>
      </c>
      <c r="BA3" s="51" t="s">
        <v>15</v>
      </c>
      <c r="BB3" s="53" t="s" vm="1">
        <v>63</v>
      </c>
    </row>
    <row r="4" spans="2:56" ht="15" thickBot="1" x14ac:dyDescent="0.35">
      <c r="B4" s="8" t="s">
        <v>15</v>
      </c>
      <c r="C4" s="8" t="s">
        <v>37</v>
      </c>
      <c r="D4" s="8" t="s">
        <v>38</v>
      </c>
      <c r="E4" s="8"/>
      <c r="F4" s="8"/>
      <c r="K4" s="1" t="s">
        <v>14</v>
      </c>
      <c r="L4" s="1" t="s">
        <v>15</v>
      </c>
      <c r="Z4" s="7" t="s">
        <v>45</v>
      </c>
      <c r="AG4" s="62" t="s">
        <v>47</v>
      </c>
      <c r="AH4" s="62"/>
      <c r="AI4" s="62"/>
      <c r="AP4" s="62" t="s">
        <v>49</v>
      </c>
      <c r="AQ4" s="62"/>
    </row>
    <row r="5" spans="2:56" ht="15" thickBot="1" x14ac:dyDescent="0.35">
      <c r="B5">
        <v>2021</v>
      </c>
      <c r="C5">
        <v>627</v>
      </c>
      <c r="K5" s="32" t="s">
        <v>17</v>
      </c>
      <c r="L5" s="33">
        <v>2024</v>
      </c>
      <c r="M5" s="34">
        <v>2025</v>
      </c>
      <c r="N5" s="19" t="s">
        <v>23</v>
      </c>
      <c r="O5" s="19">
        <f t="shared" ref="O5:O19" si="0">L5</f>
        <v>2024</v>
      </c>
      <c r="P5" s="19">
        <f t="shared" ref="P5:P19" si="1">M5</f>
        <v>2025</v>
      </c>
      <c r="Q5" s="20" t="s">
        <v>18</v>
      </c>
      <c r="R5" s="19" t="s">
        <v>19</v>
      </c>
      <c r="S5" s="19" t="s">
        <v>20</v>
      </c>
      <c r="T5" s="19" t="s">
        <v>21</v>
      </c>
      <c r="U5" s="21" t="s">
        <v>22</v>
      </c>
      <c r="Z5" s="59" t="s">
        <v>67</v>
      </c>
      <c r="AA5" s="60" t="s">
        <v>66</v>
      </c>
      <c r="AB5" s="61" t="s">
        <v>56</v>
      </c>
      <c r="AG5" s="32" t="s">
        <v>15</v>
      </c>
      <c r="AH5" s="32" t="s">
        <v>44</v>
      </c>
      <c r="AI5" s="47" t="s">
        <v>46</v>
      </c>
      <c r="AJ5" s="8" t="s">
        <v>56</v>
      </c>
      <c r="AK5" s="8" t="s">
        <v>38</v>
      </c>
      <c r="AP5" s="48" t="s">
        <v>14</v>
      </c>
      <c r="AQ5" s="32" t="s">
        <v>15</v>
      </c>
      <c r="AR5" s="32" t="s">
        <v>48</v>
      </c>
      <c r="AS5" s="43"/>
      <c r="AT5" s="26"/>
      <c r="BA5" s="52" t="s">
        <v>57</v>
      </c>
      <c r="BB5" s="47" t="s">
        <v>14</v>
      </c>
    </row>
    <row r="6" spans="2:56" ht="15" thickBot="1" x14ac:dyDescent="0.35">
      <c r="B6">
        <v>2022</v>
      </c>
      <c r="C6">
        <v>744</v>
      </c>
      <c r="D6" s="3">
        <f>(C6-C5)/C6</f>
        <v>0.15725806451612903</v>
      </c>
      <c r="E6" s="22" t="str">
        <f>IF(D6&gt;0, "▲ " &amp; TEXT(D6, "0%"), "▼ " &amp; TEXT(D6, "0%"))</f>
        <v>▲ 16%</v>
      </c>
      <c r="K6" s="29" t="s">
        <v>12</v>
      </c>
      <c r="L6" s="55">
        <v>7</v>
      </c>
      <c r="M6" s="26">
        <v>9</v>
      </c>
      <c r="N6" s="9" t="s">
        <v>24</v>
      </c>
      <c r="O6" s="9">
        <f t="shared" si="0"/>
        <v>7</v>
      </c>
      <c r="P6" s="9">
        <f t="shared" si="1"/>
        <v>9</v>
      </c>
      <c r="Q6" s="17">
        <f t="shared" ref="Q6:Q19" si="2">IF(M6&gt;L6,M6-L6,"")</f>
        <v>2</v>
      </c>
      <c r="R6" s="9" t="str">
        <f t="shared" ref="R6:R19" si="3">IF(L6&gt;M6,L6-M6,"")</f>
        <v/>
      </c>
      <c r="S6" s="9">
        <f t="shared" ref="S6:S19" si="4">MAX(L6:M6)</f>
        <v>9</v>
      </c>
      <c r="T6" s="10">
        <f t="shared" ref="T6:T19" si="5">IF(M6&gt;L6,Q6/M6,"")</f>
        <v>0.22222222222222221</v>
      </c>
      <c r="U6" s="12" t="str">
        <f t="shared" ref="U6:U19" si="6">IF(L6&gt;M6,R6/L6,"")</f>
        <v/>
      </c>
      <c r="Z6" s="11">
        <v>1</v>
      </c>
      <c r="AA6" s="9">
        <v>297</v>
      </c>
      <c r="AB6" s="12">
        <f>AA6/$AA$12</f>
        <v>0.34335260115606936</v>
      </c>
      <c r="AG6" s="29">
        <v>2022</v>
      </c>
      <c r="AH6" s="40">
        <v>316</v>
      </c>
      <c r="AI6" s="37">
        <v>428</v>
      </c>
      <c r="AJ6" s="3">
        <f>AH6/$AH$11</f>
        <v>0.30443159922928709</v>
      </c>
      <c r="AK6" t="str">
        <f>TEXT(AJ6,"#%")&amp;"-"&amp;AH6</f>
        <v>30%-316</v>
      </c>
      <c r="AP6" s="27"/>
      <c r="AQ6" s="33">
        <v>2025</v>
      </c>
      <c r="AR6" s="35"/>
      <c r="AS6" s="35"/>
      <c r="AT6" s="34"/>
      <c r="BA6" s="27" t="s">
        <v>60</v>
      </c>
      <c r="BB6" s="29">
        <v>118</v>
      </c>
      <c r="BC6" s="3">
        <f>BB6/$BB$11</f>
        <v>0.42753623188405798</v>
      </c>
      <c r="BD6" t="str">
        <f>TEXT(BC6,"0%") &amp; "-"&amp; BB6</f>
        <v>43%-118</v>
      </c>
    </row>
    <row r="7" spans="2:56" ht="15" thickBot="1" x14ac:dyDescent="0.35">
      <c r="B7">
        <v>2023</v>
      </c>
      <c r="C7">
        <v>702</v>
      </c>
      <c r="D7" s="3">
        <f>(C7-C6)/C7</f>
        <v>-5.9829059829059832E-2</v>
      </c>
      <c r="E7" s="23" t="str">
        <f>IF(D7&gt;0, "▲ " &amp; TEXT(D7, "0%"), "▼ " &amp; TEXT(D7, "0%"))</f>
        <v>▼ -6%</v>
      </c>
      <c r="K7" s="30" t="s">
        <v>13</v>
      </c>
      <c r="L7" s="27">
        <v>25</v>
      </c>
      <c r="M7" s="56">
        <v>19</v>
      </c>
      <c r="N7" s="9" t="s">
        <v>24</v>
      </c>
      <c r="O7" s="9">
        <f t="shared" si="0"/>
        <v>25</v>
      </c>
      <c r="P7" s="9">
        <f t="shared" si="1"/>
        <v>19</v>
      </c>
      <c r="Q7" s="17" t="str">
        <f t="shared" si="2"/>
        <v/>
      </c>
      <c r="R7" s="9">
        <f t="shared" si="3"/>
        <v>6</v>
      </c>
      <c r="S7" s="9">
        <f t="shared" si="4"/>
        <v>25</v>
      </c>
      <c r="T7" s="10" t="str">
        <f t="shared" si="5"/>
        <v/>
      </c>
      <c r="U7" s="12">
        <f t="shared" si="6"/>
        <v>0.24</v>
      </c>
      <c r="Z7" s="11">
        <v>2</v>
      </c>
      <c r="AA7" s="9">
        <v>172</v>
      </c>
      <c r="AB7" s="12">
        <f t="shared" ref="AB7:AB10" si="7">AA7/$AA$12</f>
        <v>0.19884393063583816</v>
      </c>
      <c r="AG7" s="30">
        <v>2023</v>
      </c>
      <c r="AH7" s="41">
        <v>211</v>
      </c>
      <c r="AI7" s="38">
        <v>491</v>
      </c>
      <c r="AJ7" s="3">
        <f t="shared" ref="AJ7:AJ9" si="8">AH7/$AH$11</f>
        <v>0.20327552986512523</v>
      </c>
      <c r="AK7" t="str">
        <f t="shared" ref="AK7:AK9" si="9">TEXT(AJ7,"#%")&amp;"-"&amp;AH7</f>
        <v>20%-211</v>
      </c>
      <c r="AP7" s="54" t="s">
        <v>51</v>
      </c>
      <c r="AQ7" s="33" t="s">
        <v>40</v>
      </c>
      <c r="AR7" s="35" t="s">
        <v>42</v>
      </c>
      <c r="AS7" s="35" t="s">
        <v>43</v>
      </c>
      <c r="AT7" s="34" t="s">
        <v>41</v>
      </c>
      <c r="BA7" s="27" t="s">
        <v>62</v>
      </c>
      <c r="BB7" s="30">
        <v>80</v>
      </c>
      <c r="BC7" s="3">
        <f t="shared" ref="BC7:BC10" si="10">BB7/$BB$11</f>
        <v>0.28985507246376813</v>
      </c>
      <c r="BD7" t="str">
        <f t="shared" ref="BD7:BD10" si="11">TEXT(BC7,"0%") &amp; "-"&amp; BB7</f>
        <v>29%-80</v>
      </c>
    </row>
    <row r="8" spans="2:56" x14ac:dyDescent="0.3">
      <c r="B8">
        <v>2024</v>
      </c>
      <c r="C8">
        <v>711</v>
      </c>
      <c r="D8" s="3">
        <f>(C8-C7)/C8</f>
        <v>1.2658227848101266E-2</v>
      </c>
      <c r="E8" s="22" t="str">
        <f>IF(D8&gt;0, "▲ " &amp; TEXT(D8, "0%"), "▼ " &amp; TEXT(D8, "0%"))</f>
        <v>▲ 1%</v>
      </c>
      <c r="K8" s="30" t="s">
        <v>0</v>
      </c>
      <c r="L8" s="27">
        <v>26</v>
      </c>
      <c r="M8" s="56">
        <v>22</v>
      </c>
      <c r="N8" s="9" t="s">
        <v>25</v>
      </c>
      <c r="O8" s="9">
        <f t="shared" si="0"/>
        <v>26</v>
      </c>
      <c r="P8" s="9">
        <f t="shared" si="1"/>
        <v>22</v>
      </c>
      <c r="Q8" s="17" t="str">
        <f t="shared" si="2"/>
        <v/>
      </c>
      <c r="R8" s="9">
        <f t="shared" si="3"/>
        <v>4</v>
      </c>
      <c r="S8" s="9">
        <f t="shared" si="4"/>
        <v>26</v>
      </c>
      <c r="T8" s="10" t="str">
        <f t="shared" si="5"/>
        <v/>
      </c>
      <c r="U8" s="12">
        <f t="shared" si="6"/>
        <v>0.15384615384615385</v>
      </c>
      <c r="Z8" s="11">
        <v>3</v>
      </c>
      <c r="AA8" s="9">
        <v>121</v>
      </c>
      <c r="AB8" s="12">
        <f t="shared" si="7"/>
        <v>0.13988439306358383</v>
      </c>
      <c r="AG8" s="30">
        <v>2024</v>
      </c>
      <c r="AH8" s="41">
        <v>284</v>
      </c>
      <c r="AI8" s="38">
        <v>427</v>
      </c>
      <c r="AJ8" s="3">
        <f t="shared" si="8"/>
        <v>0.27360308285163776</v>
      </c>
      <c r="AK8" t="str">
        <f t="shared" si="9"/>
        <v>27%-284</v>
      </c>
      <c r="AP8" s="27" t="s">
        <v>52</v>
      </c>
      <c r="AQ8" s="55">
        <v>124</v>
      </c>
      <c r="AR8" s="43"/>
      <c r="AS8" s="43"/>
      <c r="AT8" s="26"/>
      <c r="BA8" s="27" t="s">
        <v>58</v>
      </c>
      <c r="BB8" s="30">
        <v>44</v>
      </c>
      <c r="BC8" s="3">
        <f t="shared" si="10"/>
        <v>0.15942028985507245</v>
      </c>
      <c r="BD8" t="str">
        <f t="shared" si="11"/>
        <v>16%-44</v>
      </c>
    </row>
    <row r="9" spans="2:56" ht="15" thickBot="1" x14ac:dyDescent="0.35">
      <c r="B9">
        <v>2025</v>
      </c>
      <c r="C9">
        <v>744</v>
      </c>
      <c r="D9" s="3">
        <f>(C9-C8)/C9</f>
        <v>4.4354838709677422E-2</v>
      </c>
      <c r="E9" s="22" t="str">
        <f>IF(D9&gt;0, "▲ " &amp; TEXT(D9, "0%"), "▼ " &amp; TEXT(D9, "0%"))</f>
        <v>▲ 4%</v>
      </c>
      <c r="F9" s="5"/>
      <c r="K9" s="30" t="s">
        <v>1</v>
      </c>
      <c r="L9" s="27">
        <v>25</v>
      </c>
      <c r="M9" s="56">
        <v>27</v>
      </c>
      <c r="N9" s="9" t="s">
        <v>26</v>
      </c>
      <c r="O9" s="9">
        <f t="shared" si="0"/>
        <v>25</v>
      </c>
      <c r="P9" s="9">
        <f t="shared" si="1"/>
        <v>27</v>
      </c>
      <c r="Q9" s="17">
        <f t="shared" si="2"/>
        <v>2</v>
      </c>
      <c r="R9" s="9" t="str">
        <f t="shared" si="3"/>
        <v/>
      </c>
      <c r="S9" s="9">
        <f t="shared" si="4"/>
        <v>27</v>
      </c>
      <c r="T9" s="10">
        <f t="shared" si="5"/>
        <v>7.407407407407407E-2</v>
      </c>
      <c r="U9" s="12" t="str">
        <f t="shared" si="6"/>
        <v/>
      </c>
      <c r="Z9" s="11">
        <v>4</v>
      </c>
      <c r="AA9" s="9">
        <v>149</v>
      </c>
      <c r="AB9" s="12">
        <f t="shared" si="7"/>
        <v>0.1722543352601156</v>
      </c>
      <c r="AG9" s="31">
        <v>2025</v>
      </c>
      <c r="AH9" s="42">
        <v>227</v>
      </c>
      <c r="AI9" s="39">
        <v>517</v>
      </c>
      <c r="AJ9" s="3">
        <f t="shared" si="8"/>
        <v>0.2186897880539499</v>
      </c>
      <c r="AK9" t="str">
        <f t="shared" si="9"/>
        <v>22%-227</v>
      </c>
      <c r="AP9" s="27" t="s">
        <v>53</v>
      </c>
      <c r="AQ9" s="27">
        <v>77</v>
      </c>
      <c r="AR9">
        <v>73</v>
      </c>
      <c r="AT9" s="56">
        <v>166</v>
      </c>
      <c r="BA9" s="27" t="s">
        <v>61</v>
      </c>
      <c r="BB9" s="30">
        <v>24</v>
      </c>
      <c r="BC9" s="3">
        <f t="shared" si="10"/>
        <v>8.6956521739130432E-2</v>
      </c>
      <c r="BD9" t="str">
        <f t="shared" si="11"/>
        <v>9%-24</v>
      </c>
    </row>
    <row r="10" spans="2:56" ht="15" thickBot="1" x14ac:dyDescent="0.35">
      <c r="C10">
        <f>SUM(C5:C9)</f>
        <v>3528</v>
      </c>
      <c r="K10" s="30" t="s">
        <v>2</v>
      </c>
      <c r="L10" s="27">
        <v>28</v>
      </c>
      <c r="M10" s="56">
        <v>20</v>
      </c>
      <c r="N10" s="9" t="s">
        <v>27</v>
      </c>
      <c r="O10" s="9">
        <f t="shared" si="0"/>
        <v>28</v>
      </c>
      <c r="P10" s="9">
        <f t="shared" si="1"/>
        <v>20</v>
      </c>
      <c r="Q10" s="17" t="str">
        <f t="shared" si="2"/>
        <v/>
      </c>
      <c r="R10" s="9">
        <f t="shared" si="3"/>
        <v>8</v>
      </c>
      <c r="S10" s="9">
        <f t="shared" si="4"/>
        <v>28</v>
      </c>
      <c r="T10" s="10" t="str">
        <f t="shared" si="5"/>
        <v/>
      </c>
      <c r="U10" s="12">
        <f t="shared" si="6"/>
        <v>0.2857142857142857</v>
      </c>
      <c r="Z10" s="13">
        <v>5</v>
      </c>
      <c r="AA10" s="14">
        <v>126</v>
      </c>
      <c r="AB10" s="16">
        <f t="shared" si="7"/>
        <v>0.14566473988439307</v>
      </c>
      <c r="AP10" s="27" t="s">
        <v>54</v>
      </c>
      <c r="AQ10" s="27">
        <v>28</v>
      </c>
      <c r="AT10" s="56"/>
      <c r="BA10" s="28" t="s">
        <v>59</v>
      </c>
      <c r="BB10" s="31">
        <v>10</v>
      </c>
      <c r="BC10" s="3">
        <f t="shared" si="10"/>
        <v>3.6231884057971016E-2</v>
      </c>
      <c r="BD10" t="str">
        <f t="shared" si="11"/>
        <v>4%-10</v>
      </c>
    </row>
    <row r="11" spans="2:56" ht="15" thickBot="1" x14ac:dyDescent="0.35">
      <c r="K11" s="30" t="s">
        <v>3</v>
      </c>
      <c r="L11" s="27">
        <v>14</v>
      </c>
      <c r="M11" s="56">
        <v>24</v>
      </c>
      <c r="N11" s="9" t="s">
        <v>28</v>
      </c>
      <c r="O11" s="9">
        <f t="shared" si="0"/>
        <v>14</v>
      </c>
      <c r="P11" s="9">
        <f t="shared" si="1"/>
        <v>24</v>
      </c>
      <c r="Q11" s="17">
        <f t="shared" si="2"/>
        <v>10</v>
      </c>
      <c r="R11" s="9" t="str">
        <f t="shared" si="3"/>
        <v/>
      </c>
      <c r="S11" s="9">
        <f t="shared" si="4"/>
        <v>24</v>
      </c>
      <c r="T11" s="10">
        <f t="shared" si="5"/>
        <v>0.41666666666666669</v>
      </c>
      <c r="U11" s="12" t="str">
        <f t="shared" si="6"/>
        <v/>
      </c>
      <c r="AG11" t="s">
        <v>71</v>
      </c>
      <c r="AH11" s="36">
        <f>SUM(AH6:AH9)</f>
        <v>1038</v>
      </c>
      <c r="AP11" s="28" t="s">
        <v>55</v>
      </c>
      <c r="AQ11" s="28">
        <v>28</v>
      </c>
      <c r="AR11" s="58">
        <v>58</v>
      </c>
      <c r="AS11" s="58">
        <v>121</v>
      </c>
      <c r="AT11" s="57">
        <v>69</v>
      </c>
      <c r="BB11">
        <f>SUM(BB6:BB10)</f>
        <v>276</v>
      </c>
    </row>
    <row r="12" spans="2:56" x14ac:dyDescent="0.3">
      <c r="B12" t="s">
        <v>39</v>
      </c>
      <c r="C12" t="s">
        <v>38</v>
      </c>
      <c r="K12" s="30" t="s">
        <v>5</v>
      </c>
      <c r="L12" s="27">
        <v>21</v>
      </c>
      <c r="M12" s="56">
        <v>12</v>
      </c>
      <c r="N12" s="9" t="s">
        <v>29</v>
      </c>
      <c r="O12" s="9">
        <f t="shared" si="0"/>
        <v>21</v>
      </c>
      <c r="P12" s="9">
        <f t="shared" si="1"/>
        <v>12</v>
      </c>
      <c r="Q12" s="17" t="str">
        <f t="shared" si="2"/>
        <v/>
      </c>
      <c r="R12" s="9">
        <f t="shared" si="3"/>
        <v>9</v>
      </c>
      <c r="S12" s="9">
        <f t="shared" si="4"/>
        <v>21</v>
      </c>
      <c r="T12" s="10" t="str">
        <f t="shared" si="5"/>
        <v/>
      </c>
      <c r="U12" s="12">
        <f t="shared" si="6"/>
        <v>0.42857142857142855</v>
      </c>
      <c r="AA12">
        <f>SUM(AA6:AA10)</f>
        <v>865</v>
      </c>
      <c r="AP12" s="27" t="s">
        <v>56</v>
      </c>
      <c r="AQ12" s="3">
        <f>AQ13/$AU$13</f>
        <v>0.34543010752688175</v>
      </c>
      <c r="AR12" s="3">
        <f t="shared" ref="AR12:AT12" si="12">AR13/$AU$13</f>
        <v>0.17607526881720431</v>
      </c>
      <c r="AS12" s="3">
        <f t="shared" si="12"/>
        <v>0.16263440860215053</v>
      </c>
      <c r="AT12" s="3">
        <f t="shared" si="12"/>
        <v>0.31586021505376344</v>
      </c>
    </row>
    <row r="13" spans="2:56" x14ac:dyDescent="0.3">
      <c r="B13" s="25" t="str">
        <f>"▼"&amp;" "&amp;TEXT(((C9-C6)/C9),"0.0%")</f>
        <v>▼ 0.0%</v>
      </c>
      <c r="C13" s="24" t="str">
        <f>"The overall change from 2022 to 2025, "&amp;"indicating no improvement."</f>
        <v>The overall change from 2022 to 2025, indicating no improvement.</v>
      </c>
      <c r="K13" s="30" t="s">
        <v>6</v>
      </c>
      <c r="L13" s="27">
        <v>17</v>
      </c>
      <c r="M13" s="56">
        <v>19</v>
      </c>
      <c r="N13" s="9" t="s">
        <v>30</v>
      </c>
      <c r="O13" s="9">
        <f t="shared" si="0"/>
        <v>17</v>
      </c>
      <c r="P13" s="9">
        <f t="shared" si="1"/>
        <v>19</v>
      </c>
      <c r="Q13" s="17">
        <f t="shared" si="2"/>
        <v>2</v>
      </c>
      <c r="R13" s="9" t="str">
        <f t="shared" si="3"/>
        <v/>
      </c>
      <c r="S13" s="9">
        <f t="shared" si="4"/>
        <v>19</v>
      </c>
      <c r="T13" s="10">
        <f t="shared" si="5"/>
        <v>0.10526315789473684</v>
      </c>
      <c r="U13" s="12" t="str">
        <f t="shared" si="6"/>
        <v/>
      </c>
      <c r="AP13" s="27" t="s">
        <v>50</v>
      </c>
      <c r="AQ13" s="49">
        <f>SUM(AQ8:AQ11)</f>
        <v>257</v>
      </c>
      <c r="AR13" s="49">
        <f t="shared" ref="AR13:AT13" si="13">SUM(AR8:AR11)</f>
        <v>131</v>
      </c>
      <c r="AS13" s="49">
        <f t="shared" si="13"/>
        <v>121</v>
      </c>
      <c r="AT13" s="49">
        <f t="shared" si="13"/>
        <v>235</v>
      </c>
      <c r="AU13" s="36">
        <f>SUM(AQ13:AT13)</f>
        <v>744</v>
      </c>
    </row>
    <row r="14" spans="2:56" ht="15" thickBot="1" x14ac:dyDescent="0.35">
      <c r="K14" s="30" t="s">
        <v>7</v>
      </c>
      <c r="L14" s="27">
        <v>86</v>
      </c>
      <c r="M14" s="56">
        <v>83</v>
      </c>
      <c r="N14" s="9" t="s">
        <v>31</v>
      </c>
      <c r="O14" s="9">
        <f t="shared" si="0"/>
        <v>86</v>
      </c>
      <c r="P14" s="9">
        <f t="shared" si="1"/>
        <v>83</v>
      </c>
      <c r="Q14" s="17" t="str">
        <f t="shared" si="2"/>
        <v/>
      </c>
      <c r="R14" s="9">
        <f t="shared" si="3"/>
        <v>3</v>
      </c>
      <c r="S14" s="9">
        <f t="shared" si="4"/>
        <v>86</v>
      </c>
      <c r="T14" s="10" t="str">
        <f t="shared" si="5"/>
        <v/>
      </c>
      <c r="U14" s="12">
        <f t="shared" si="6"/>
        <v>3.4883720930232558E-2</v>
      </c>
      <c r="Z14" t="s">
        <v>70</v>
      </c>
    </row>
    <row r="15" spans="2:56" x14ac:dyDescent="0.3">
      <c r="K15" s="30" t="s">
        <v>8</v>
      </c>
      <c r="L15" s="27">
        <v>80</v>
      </c>
      <c r="M15" s="56">
        <v>89</v>
      </c>
      <c r="N15" s="9" t="s">
        <v>32</v>
      </c>
      <c r="O15" s="9">
        <f t="shared" si="0"/>
        <v>80</v>
      </c>
      <c r="P15" s="9">
        <f t="shared" si="1"/>
        <v>89</v>
      </c>
      <c r="Q15" s="17">
        <f t="shared" si="2"/>
        <v>9</v>
      </c>
      <c r="R15" s="9" t="str">
        <f t="shared" si="3"/>
        <v/>
      </c>
      <c r="S15" s="9">
        <f t="shared" si="4"/>
        <v>89</v>
      </c>
      <c r="T15" s="10">
        <f t="shared" si="5"/>
        <v>0.10112359550561797</v>
      </c>
      <c r="U15" s="12" t="str">
        <f t="shared" si="6"/>
        <v/>
      </c>
      <c r="AP15" s="50" t="str">
        <f>AP7</f>
        <v>category</v>
      </c>
      <c r="AQ15" s="44" t="str">
        <f t="shared" ref="AQ15:AT15" si="14">AQ7</f>
        <v>REG</v>
      </c>
      <c r="AR15" s="44" t="str">
        <f t="shared" si="14"/>
        <v>ESC</v>
      </c>
      <c r="AS15" s="44" t="str">
        <f t="shared" si="14"/>
        <v>QVR</v>
      </c>
      <c r="AT15" s="45" t="str">
        <f t="shared" si="14"/>
        <v>TLC</v>
      </c>
    </row>
    <row r="16" spans="2:56" x14ac:dyDescent="0.3">
      <c r="K16" s="30" t="s">
        <v>4</v>
      </c>
      <c r="L16" s="27">
        <v>67</v>
      </c>
      <c r="M16" s="56">
        <v>82</v>
      </c>
      <c r="N16" s="9" t="s">
        <v>33</v>
      </c>
      <c r="O16" s="9">
        <f t="shared" si="0"/>
        <v>67</v>
      </c>
      <c r="P16" s="9">
        <f t="shared" si="1"/>
        <v>82</v>
      </c>
      <c r="Q16" s="17">
        <f t="shared" si="2"/>
        <v>15</v>
      </c>
      <c r="R16" s="9" t="str">
        <f t="shared" si="3"/>
        <v/>
      </c>
      <c r="S16" s="9">
        <f t="shared" si="4"/>
        <v>82</v>
      </c>
      <c r="T16" s="10">
        <f t="shared" si="5"/>
        <v>0.18292682926829268</v>
      </c>
      <c r="U16" s="12" t="str">
        <f t="shared" si="6"/>
        <v/>
      </c>
      <c r="AP16" s="11" t="str">
        <f>AP11</f>
        <v>SENIOR HIGH SCHOOL</v>
      </c>
      <c r="AQ16" s="11">
        <f t="shared" ref="AQ16:AT16" si="15">AQ11</f>
        <v>28</v>
      </c>
      <c r="AR16" s="11">
        <f t="shared" si="15"/>
        <v>58</v>
      </c>
      <c r="AS16" s="11">
        <f t="shared" si="15"/>
        <v>121</v>
      </c>
      <c r="AT16" s="11">
        <f t="shared" si="15"/>
        <v>69</v>
      </c>
    </row>
    <row r="17" spans="7:46" x14ac:dyDescent="0.3">
      <c r="K17" s="30" t="s">
        <v>9</v>
      </c>
      <c r="L17" s="27">
        <v>68</v>
      </c>
      <c r="M17" s="56">
        <v>62</v>
      </c>
      <c r="N17" s="9" t="s">
        <v>34</v>
      </c>
      <c r="O17" s="9">
        <f t="shared" si="0"/>
        <v>68</v>
      </c>
      <c r="P17" s="9">
        <f t="shared" si="1"/>
        <v>62</v>
      </c>
      <c r="Q17" s="17" t="str">
        <f t="shared" si="2"/>
        <v/>
      </c>
      <c r="R17" s="9">
        <f t="shared" si="3"/>
        <v>6</v>
      </c>
      <c r="S17" s="9">
        <f t="shared" si="4"/>
        <v>68</v>
      </c>
      <c r="T17" s="10" t="str">
        <f t="shared" si="5"/>
        <v/>
      </c>
      <c r="U17" s="12">
        <f t="shared" si="6"/>
        <v>8.8235294117647065E-2</v>
      </c>
      <c r="AP17" s="11" t="str">
        <f t="shared" ref="AP17:AT17" si="16">AP9</f>
        <v>HIGH SCHOOL</v>
      </c>
      <c r="AQ17" s="9">
        <f t="shared" si="16"/>
        <v>77</v>
      </c>
      <c r="AR17" s="9">
        <f t="shared" si="16"/>
        <v>73</v>
      </c>
      <c r="AS17" s="9">
        <f t="shared" si="16"/>
        <v>0</v>
      </c>
      <c r="AT17" s="46">
        <f t="shared" si="16"/>
        <v>166</v>
      </c>
    </row>
    <row r="18" spans="7:46" x14ac:dyDescent="0.3">
      <c r="K18" s="30" t="s">
        <v>10</v>
      </c>
      <c r="L18" s="27">
        <v>145</v>
      </c>
      <c r="M18" s="56">
        <v>127</v>
      </c>
      <c r="N18" s="9" t="s">
        <v>35</v>
      </c>
      <c r="O18" s="9">
        <f t="shared" si="0"/>
        <v>145</v>
      </c>
      <c r="P18" s="9">
        <f t="shared" si="1"/>
        <v>127</v>
      </c>
      <c r="Q18" s="17" t="str">
        <f t="shared" si="2"/>
        <v/>
      </c>
      <c r="R18" s="9">
        <f t="shared" si="3"/>
        <v>18</v>
      </c>
      <c r="S18" s="9">
        <f t="shared" si="4"/>
        <v>145</v>
      </c>
      <c r="T18" s="10" t="str">
        <f t="shared" si="5"/>
        <v/>
      </c>
      <c r="U18" s="12">
        <f t="shared" si="6"/>
        <v>0.12413793103448276</v>
      </c>
      <c r="AP18" s="11" t="str">
        <f>AP8</f>
        <v>ELEMENTARY</v>
      </c>
      <c r="AQ18" s="11">
        <f t="shared" ref="AQ18:AT18" si="17">AQ8</f>
        <v>124</v>
      </c>
      <c r="AR18" s="11">
        <f t="shared" si="17"/>
        <v>0</v>
      </c>
      <c r="AS18" s="11">
        <f t="shared" si="17"/>
        <v>0</v>
      </c>
      <c r="AT18" s="11">
        <f t="shared" si="17"/>
        <v>0</v>
      </c>
    </row>
    <row r="19" spans="7:46" ht="15" thickBot="1" x14ac:dyDescent="0.35">
      <c r="K19" s="31" t="s">
        <v>11</v>
      </c>
      <c r="L19" s="28">
        <v>102</v>
      </c>
      <c r="M19" s="57">
        <v>149</v>
      </c>
      <c r="N19" s="14" t="s">
        <v>36</v>
      </c>
      <c r="O19" s="14">
        <f t="shared" si="0"/>
        <v>102</v>
      </c>
      <c r="P19" s="14">
        <f t="shared" si="1"/>
        <v>149</v>
      </c>
      <c r="Q19" s="18">
        <f t="shared" si="2"/>
        <v>47</v>
      </c>
      <c r="R19" s="14" t="str">
        <f t="shared" si="3"/>
        <v/>
      </c>
      <c r="S19" s="14">
        <f t="shared" si="4"/>
        <v>149</v>
      </c>
      <c r="T19" s="15">
        <f t="shared" si="5"/>
        <v>0.31543624161073824</v>
      </c>
      <c r="U19" s="16" t="str">
        <f t="shared" si="6"/>
        <v/>
      </c>
      <c r="AP19" s="11" t="str">
        <f>AP10</f>
        <v>KINDER</v>
      </c>
      <c r="AQ19" s="11">
        <f t="shared" ref="AQ19:AT19" si="18">AQ10</f>
        <v>28</v>
      </c>
      <c r="AR19" s="11">
        <f t="shared" si="18"/>
        <v>0</v>
      </c>
      <c r="AS19" s="11">
        <f t="shared" si="18"/>
        <v>0</v>
      </c>
      <c r="AT19" s="11">
        <f t="shared" si="18"/>
        <v>0</v>
      </c>
    </row>
    <row r="20" spans="7:46" ht="15" thickBot="1" x14ac:dyDescent="0.35">
      <c r="AP20" s="13" t="str">
        <f>AP12</f>
        <v>%</v>
      </c>
      <c r="AQ20" s="15">
        <f t="shared" ref="AQ20:AT20" si="19">AQ12</f>
        <v>0.34543010752688175</v>
      </c>
      <c r="AR20" s="15">
        <f t="shared" si="19"/>
        <v>0.17607526881720431</v>
      </c>
      <c r="AS20" s="15">
        <f t="shared" si="19"/>
        <v>0.16263440860215053</v>
      </c>
      <c r="AT20" s="16">
        <f t="shared" si="19"/>
        <v>0.31586021505376344</v>
      </c>
    </row>
    <row r="21" spans="7:46" x14ac:dyDescent="0.3">
      <c r="G21" s="4"/>
    </row>
    <row r="22" spans="7:46" ht="15" thickBot="1" x14ac:dyDescent="0.35"/>
    <row r="31" spans="7:46" x14ac:dyDescent="0.3">
      <c r="AH31" s="36"/>
    </row>
    <row r="1898" ht="15" thickBot="1" x14ac:dyDescent="0.35"/>
  </sheetData>
  <mergeCells count="3">
    <mergeCell ref="AG4:AI4"/>
    <mergeCell ref="AP4:AQ4"/>
    <mergeCell ref="K3:L3"/>
  </mergeCells>
  <phoneticPr fontId="6" type="noConversion"/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AA62-8F87-4CB4-9511-146E139ED423}">
  <dimension ref="A1:AC64"/>
  <sheetViews>
    <sheetView showGridLines="0" showRowColHeaders="0" tabSelected="1" zoomScaleNormal="100" workbookViewId="0">
      <selection activeCell="Y1" sqref="Y1"/>
    </sheetView>
  </sheetViews>
  <sheetFormatPr defaultRowHeight="14.4" x14ac:dyDescent="0.3"/>
  <sheetData>
    <row r="1" spans="1:29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</sheetData>
  <sheetProtection algorithmName="SHA-512" hashValue="eR5zA35avyP0R1XRIsFAsnv5rcmSfqQUZTsJgnf4rXKlNja5C0K8VsYMuVkX6SyTfYRvDMkMsqASCenEyYGh7Q==" saltValue="s5ww6YMyWP6Xe7OfsEwCUw==" spinCount="100000" sheet="1" objects="1" scenario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B6B61E9F-A129-47F0-A4D9-D14F6FE05B3E}">
  <ds:schemaRefs/>
</ds:datastoreItem>
</file>

<file path=customXml/itemProps2.xml><?xml version="1.0" encoding="utf-8"?>
<ds:datastoreItem xmlns:ds="http://schemas.openxmlformats.org/officeDocument/2006/customXml" ds:itemID="{EE365ABB-15DD-42C3-AE8F-58FB2DA358FF}">
  <ds:schemaRefs/>
</ds:datastoreItem>
</file>

<file path=customXml/itemProps3.xml><?xml version="1.0" encoding="utf-8"?>
<ds:datastoreItem xmlns:ds="http://schemas.openxmlformats.org/officeDocument/2006/customXml" ds:itemID="{3CCD159F-1A8B-41F8-BA68-103F0037534D}">
  <ds:schemaRefs/>
</ds:datastoreItem>
</file>

<file path=customXml/itemProps4.xml><?xml version="1.0" encoding="utf-8"?>
<ds:datastoreItem xmlns:ds="http://schemas.openxmlformats.org/officeDocument/2006/customXml" ds:itemID="{D6A706B2-BDE6-4E10-BD1E-FDDA5E18D93B}">
  <ds:schemaRefs/>
</ds:datastoreItem>
</file>

<file path=customXml/itemProps5.xml><?xml version="1.0" encoding="utf-8"?>
<ds:datastoreItem xmlns:ds="http://schemas.openxmlformats.org/officeDocument/2006/customXml" ds:itemID="{C84D363B-17F3-4B62-BAD2-9684AC653EDD}">
  <ds:schemaRefs/>
</ds:datastoreItem>
</file>

<file path=customXml/itemProps6.xml><?xml version="1.0" encoding="utf-8"?>
<ds:datastoreItem xmlns:ds="http://schemas.openxmlformats.org/officeDocument/2006/customXml" ds:itemID="{962E2A00-81E1-4069-9C31-A52FF6F98209}">
  <ds:schemaRefs/>
</ds:datastoreItem>
</file>

<file path=customXml/itemProps7.xml><?xml version="1.0" encoding="utf-8"?>
<ds:datastoreItem xmlns:ds="http://schemas.openxmlformats.org/officeDocument/2006/customXml" ds:itemID="{DBC66A07-0847-45C1-BCA4-55BEB4DEAB04}">
  <ds:schemaRefs/>
</ds:datastoreItem>
</file>

<file path=customXml/itemProps8.xml><?xml version="1.0" encoding="utf-8"?>
<ds:datastoreItem xmlns:ds="http://schemas.openxmlformats.org/officeDocument/2006/customXml" ds:itemID="{B9F29CED-DE3B-40E1-A36E-43DB55CF70E9}">
  <ds:schemaRefs/>
</ds:datastoreItem>
</file>

<file path=customXml/itemProps9.xml><?xml version="1.0" encoding="utf-8"?>
<ds:datastoreItem xmlns:ds="http://schemas.openxmlformats.org/officeDocument/2006/customXml" ds:itemID="{2DAE8156-227E-4701-9B3E-25D293582CC2}">
  <ds:schemaRefs/>
</ds:datastoreItem>
</file>

<file path=customXml/itemProps10.xml><?xml version="1.0" encoding="utf-8"?>
<ds:datastoreItem xmlns:ds="http://schemas.openxmlformats.org/officeDocument/2006/customXml" ds:itemID="{2D70F5A8-B8F8-49D6-94B6-45673CFC8030}">
  <ds:schemaRefs/>
</ds:datastoreItem>
</file>

<file path=customXml/itemProps11.xml><?xml version="1.0" encoding="utf-8"?>
<ds:datastoreItem xmlns:ds="http://schemas.openxmlformats.org/officeDocument/2006/customXml" ds:itemID="{9788B1DE-9723-452A-9265-2948946538FA}">
  <ds:schemaRefs/>
</ds:datastoreItem>
</file>

<file path=customXml/itemProps12.xml><?xml version="1.0" encoding="utf-8"?>
<ds:datastoreItem xmlns:ds="http://schemas.openxmlformats.org/officeDocument/2006/customXml" ds:itemID="{8D70B894-B269-4F70-85FE-9CEB1DEAACE8}">
  <ds:schemaRefs/>
</ds:datastoreItem>
</file>

<file path=customXml/itemProps13.xml><?xml version="1.0" encoding="utf-8"?>
<ds:datastoreItem xmlns:ds="http://schemas.openxmlformats.org/officeDocument/2006/customXml" ds:itemID="{6CFD0EB4-08CA-428C-84CA-A30EE95FFCE3}">
  <ds:schemaRefs/>
</ds:datastoreItem>
</file>

<file path=customXml/itemProps14.xml><?xml version="1.0" encoding="utf-8"?>
<ds:datastoreItem xmlns:ds="http://schemas.openxmlformats.org/officeDocument/2006/customXml" ds:itemID="{D2DA4471-9602-4B63-AC6A-167F6E1E607F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9961D842-AB08-4212-A4C2-E694D98CE732}">
  <ds:schemaRefs/>
</ds:datastoreItem>
</file>

<file path=customXml/itemProps16.xml><?xml version="1.0" encoding="utf-8"?>
<ds:datastoreItem xmlns:ds="http://schemas.openxmlformats.org/officeDocument/2006/customXml" ds:itemID="{20D37671-06DD-46DE-8B5F-9E9234DC5F48}">
  <ds:schemaRefs/>
</ds:datastoreItem>
</file>

<file path=customXml/itemProps17.xml><?xml version="1.0" encoding="utf-8"?>
<ds:datastoreItem xmlns:ds="http://schemas.openxmlformats.org/officeDocument/2006/customXml" ds:itemID="{F03EF5D1-6F42-4CE6-8B4B-AFBE66E9D00B}">
  <ds:schemaRefs/>
</ds:datastoreItem>
</file>

<file path=customXml/itemProps18.xml><?xml version="1.0" encoding="utf-8"?>
<ds:datastoreItem xmlns:ds="http://schemas.openxmlformats.org/officeDocument/2006/customXml" ds:itemID="{BBC5D3DA-33D1-4B8C-8941-B8FBD4EDD672}">
  <ds:schemaRefs/>
</ds:datastoreItem>
</file>

<file path=customXml/itemProps19.xml><?xml version="1.0" encoding="utf-8"?>
<ds:datastoreItem xmlns:ds="http://schemas.openxmlformats.org/officeDocument/2006/customXml" ds:itemID="{E69E25CC-C8AE-493C-9DF7-6B33E8C76B57}">
  <ds:schemaRefs/>
</ds:datastoreItem>
</file>

<file path=customXml/itemProps20.xml><?xml version="1.0" encoding="utf-8"?>
<ds:datastoreItem xmlns:ds="http://schemas.openxmlformats.org/officeDocument/2006/customXml" ds:itemID="{4F2B9FD9-86C6-48C7-8257-BC32B4C2F990}">
  <ds:schemaRefs/>
</ds:datastoreItem>
</file>

<file path=customXml/itemProps21.xml><?xml version="1.0" encoding="utf-8"?>
<ds:datastoreItem xmlns:ds="http://schemas.openxmlformats.org/officeDocument/2006/customXml" ds:itemID="{08DC1E0B-16DF-4302-8EA2-46DA9FFD692E}">
  <ds:schemaRefs/>
</ds:datastoreItem>
</file>

<file path=customXml/itemProps22.xml><?xml version="1.0" encoding="utf-8"?>
<ds:datastoreItem xmlns:ds="http://schemas.openxmlformats.org/officeDocument/2006/customXml" ds:itemID="{8E0A408B-DC69-4E3B-A344-09725070E895}">
  <ds:schemaRefs/>
</ds:datastoreItem>
</file>

<file path=customXml/itemProps23.xml><?xml version="1.0" encoding="utf-8"?>
<ds:datastoreItem xmlns:ds="http://schemas.openxmlformats.org/officeDocument/2006/customXml" ds:itemID="{C673EC7F-9EC7-477D-9C96-638DF9C67E05}">
  <ds:schemaRefs/>
</ds:datastoreItem>
</file>

<file path=customXml/itemProps24.xml><?xml version="1.0" encoding="utf-8"?>
<ds:datastoreItem xmlns:ds="http://schemas.openxmlformats.org/officeDocument/2006/customXml" ds:itemID="{DC9D98D9-D4B6-4143-9115-A784C04AF33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lloyd lamonte</dc:creator>
  <cp:lastModifiedBy>christian lloyd lamonte</cp:lastModifiedBy>
  <dcterms:created xsi:type="dcterms:W3CDTF">2025-11-25T13:57:45Z</dcterms:created>
  <dcterms:modified xsi:type="dcterms:W3CDTF">2025-12-10T12:31:59Z</dcterms:modified>
</cp:coreProperties>
</file>