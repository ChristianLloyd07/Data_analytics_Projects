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2CBACE86-77BE-4BC1-BE54-EF3A6CDCF03D}" xr6:coauthVersionLast="47" xr6:coauthVersionMax="47" xr10:uidLastSave="{00000000-0000-0000-0000-000000000000}"/>
  <bookViews>
    <workbookView xWindow="-108" yWindow="-108" windowWidth="23256" windowHeight="12456" xr2:uid="{B9C51016-C22D-4415-9572-61B1BD723BF5}"/>
  </bookViews>
  <sheets>
    <sheet name="Dashboard" sheetId="1" r:id="rId1"/>
    <sheet name="Analysis" sheetId="2" r:id="rId2"/>
  </sheets>
  <definedNames>
    <definedName name="Slicer_Day_name">#N/A</definedName>
    <definedName name="Slicer_Month_name">#N/A</definedName>
    <definedName name="Slicer_Year">#N/A</definedName>
  </definedNames>
  <calcPr calcId="191029"/>
  <pivotCaches>
    <pivotCache cacheId="306" r:id="rId3"/>
    <pivotCache cacheId="309" r:id="rId4"/>
    <pivotCache cacheId="312" r:id="rId5"/>
    <pivotCache cacheId="315" r:id="rId6"/>
    <pivotCache cacheId="318" r:id="rId7"/>
    <pivotCache cacheId="324" r:id="rId8"/>
    <pivotCache cacheId="336"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nrollment_Data_2023_2026_e8e693e7-dc01-43a3-9cb3-24b387b09aff" name="Enrollment_Data_2023_2026" connection="Query - Enrollment_Data_2023_2026"/>
          <x15:modelTable id="Date_97496183-1392-420b-81b5-030e51cabcfd" name="Date" connection="Query - Date"/>
          <x15:modelTable id="Calculation_a5257ccb-77f5-4734-a48b-2ccbe59964eb" name="Calculation" connection="Query - Calculation"/>
        </x15:modelTables>
        <x15:modelRelationships>
          <x15:modelRelationship fromTable="Enrollment_Data_2023_2026" fromColumn="First_Inquire_Date" toTable="Date" toColumn="First_Inquire_Date"/>
        </x15:modelRelationships>
        <x15:extLst>
          <ext xmlns:x16="http://schemas.microsoft.com/office/spreadsheetml/2014/11/main" uri="{9835A34E-60A6-4A7C-AAB8-D5F71C897F49}">
            <x16:modelTimeGroupings>
              <x16:modelTimeGrouping tableName="Enrollment_Data_2023_2026" columnName="Fill-Up_Date" columnId="Fill-Up_Date">
                <x16:calculatedTimeColumn columnName="Fill-Up_Date (Year)" columnId="Fill-Up_Date (Year)" contentType="years" isSelected="1"/>
                <x16:calculatedTimeColumn columnName="Fill-Up_Date (Quarter)" columnId="Fill-Up_Date (Quarter)" contentType="quarters" isSelected="1"/>
                <x16:calculatedTimeColumn columnName="Fill-Up_Date (Month Index)" columnId="Fill-Up_Date (Month Index)" contentType="monthsindex" isSelected="1"/>
                <x16:calculatedTimeColumn columnName="Fill-Up_Date (Month)" columnId="Fill-Up_Date (Month)" contentType="months" isSelected="1"/>
              </x16:modelTimeGrouping>
              <x16:modelTimeGrouping tableName="Enrollment_Data_2023_2026" columnName="First_Inquire_Date" columnId="First_Inquire_Date">
                <x16:calculatedTimeColumn columnName="First_Inquire_Date (Year)" columnId="First_Inquire_Date (Year)" contentType="years" isSelected="0"/>
                <x16:calculatedTimeColumn columnName="First_Inquire_Date (Quarter)" columnId="First_Inquire_Date (Quarter)" contentType="quarters" isSelected="0"/>
                <x16:calculatedTimeColumn columnName="First_Inquire_Date (Month Index)" columnId="First_Inquire_Date (Month Index)" contentType="monthsindex" isSelected="1"/>
                <x16:calculatedTimeColumn columnName="First_Inquire_Date (Month)" columnId="First_Inquire_Date (Month)" contentType="months" isSelected="1"/>
              </x16:modelTimeGrouping>
              <x16:modelTimeGrouping tableName="Enrollment_Data_2023_2026" columnName="First_Follow-Up_Date" columnId="First_Follow-Up_Date">
                <x16:calculatedTimeColumn columnName="First_Follow-Up_Date (Year)" columnId="First_Follow-Up_Date (Year)" contentType="years" isSelected="1"/>
                <x16:calculatedTimeColumn columnName="First_Follow-Up_Date (Quarter)" columnId="First_Follow-Up_Date (Quarter)" contentType="quarters" isSelected="1"/>
                <x16:calculatedTimeColumn columnName="First_Follow-Up_Date (Month Index)" columnId="First_Follow-Up_Date (Month Index)" contentType="monthsindex" isSelected="1"/>
                <x16:calculatedTimeColumn columnName="First_Follow-Up_Date (Month)" columnId="First_Follow-Up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2" l="1"/>
  <c r="J6" i="2"/>
  <c r="H6" i="2"/>
  <c r="C6" i="2"/>
  <c r="D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BD43B6-EFEB-40A7-B44A-44B4BB527FA0}" name="Query - Calculation" description="Connection to the 'Calculation' query in the workbook." type="100" refreshedVersion="8" minRefreshableVersion="5">
    <extLst>
      <ext xmlns:x15="http://schemas.microsoft.com/office/spreadsheetml/2010/11/main" uri="{DE250136-89BD-433C-8126-D09CA5730AF9}">
        <x15:connection id="9a0d1401-4cf8-4fca-93b7-915a16503016"/>
      </ext>
    </extLst>
  </connection>
  <connection id="2" xr16:uid="{A7DE8C1F-FE70-4894-AC2E-6228B48F377C}" name="Query - Date" description="Connection to the 'Date' query in the workbook." type="100" refreshedVersion="8" minRefreshableVersion="5">
    <extLst>
      <ext xmlns:x15="http://schemas.microsoft.com/office/spreadsheetml/2010/11/main" uri="{DE250136-89BD-433C-8126-D09CA5730AF9}">
        <x15:connection id="3b56c4f3-fb3e-46d5-83e8-351bbb929f77"/>
      </ext>
    </extLst>
  </connection>
  <connection id="3" xr16:uid="{92ADFFC2-87C3-4D15-9E21-4EE4AC066F14}" name="Query - Enrollment_Data_2023_2026" description="Connection to the 'Enrollment_Data_2023_2026' query in the workbook." type="100" refreshedVersion="8" minRefreshableVersion="5">
    <extLst>
      <ext xmlns:x15="http://schemas.microsoft.com/office/spreadsheetml/2010/11/main" uri="{DE250136-89BD-433C-8126-D09CA5730AF9}">
        <x15:connection id="300acbc3-53c8-4ea6-a17c-faf22ef8f222"/>
      </ext>
    </extLst>
  </connection>
  <connection id="4" xr16:uid="{39C5F0C4-AFEA-4816-8871-FCACFF8B49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<sst xmlns="http://schemas.openxmlformats.org/spreadsheetml/2006/main" count="74" uniqueCount="63">
  <si>
    <t>Jan</t>
  </si>
  <si>
    <t>Feb</t>
  </si>
  <si>
    <t>Mar</t>
  </si>
  <si>
    <t>Apr</t>
  </si>
  <si>
    <t>May</t>
  </si>
  <si>
    <t>Jun</t>
  </si>
  <si>
    <t>Jul</t>
  </si>
  <si>
    <t>Aug</t>
  </si>
  <si>
    <t>Sep</t>
  </si>
  <si>
    <t>Oct</t>
  </si>
  <si>
    <t>Nov</t>
  </si>
  <si>
    <t>Dec</t>
  </si>
  <si>
    <t>Count of Fill-Up_Date</t>
  </si>
  <si>
    <t>Count of Enrolled_Date</t>
  </si>
  <si>
    <t>Count of First_Inquire_Date</t>
  </si>
  <si>
    <t>KPI</t>
  </si>
  <si>
    <t>Sun</t>
  </si>
  <si>
    <t>Mon</t>
  </si>
  <si>
    <t>Tue</t>
  </si>
  <si>
    <t>Wed</t>
  </si>
  <si>
    <t>Thu</t>
  </si>
  <si>
    <t>Fri</t>
  </si>
  <si>
    <t>Sat</t>
  </si>
  <si>
    <t>Day_name</t>
  </si>
  <si>
    <t>Day Series Analysis</t>
  </si>
  <si>
    <t>Month_name</t>
  </si>
  <si>
    <t>Month Series Analysis</t>
  </si>
  <si>
    <t>Avg._day_inquire_to_fill-up</t>
  </si>
  <si>
    <t>Avg._day_Inquire_to_Enrolled</t>
  </si>
  <si>
    <t>Avg._Day_fill-up_to_enrolled</t>
  </si>
  <si>
    <t>Second Follow up ( Enrolled)</t>
  </si>
  <si>
    <t>Enrolled W/O Follow up</t>
  </si>
  <si>
    <t>Total Enrolled</t>
  </si>
  <si>
    <t>First Follow-up (Enrolled)</t>
  </si>
  <si>
    <t>Weektype</t>
  </si>
  <si>
    <t>Weekdays</t>
  </si>
  <si>
    <t>Weekend</t>
  </si>
  <si>
    <t>Count of Name</t>
  </si>
  <si>
    <t>Channel</t>
  </si>
  <si>
    <t>Facebook</t>
  </si>
  <si>
    <t>Instagram</t>
  </si>
  <si>
    <t>Referrals</t>
  </si>
  <si>
    <t>School Tour</t>
  </si>
  <si>
    <t>Tiktok</t>
  </si>
  <si>
    <t>Walk-in</t>
  </si>
  <si>
    <t>Student_Level</t>
  </si>
  <si>
    <t>GRADE-I</t>
  </si>
  <si>
    <t>GRADE-II</t>
  </si>
  <si>
    <t>GRADE-III</t>
  </si>
  <si>
    <t>GRADE-IV</t>
  </si>
  <si>
    <t>GRADE-IX</t>
  </si>
  <si>
    <t>GRADE-V</t>
  </si>
  <si>
    <t>GRADE-VI</t>
  </si>
  <si>
    <t>GRADE-VIII</t>
  </si>
  <si>
    <t>GRADE-X</t>
  </si>
  <si>
    <t>GRADE-XI</t>
  </si>
  <si>
    <t>GRADE-XII</t>
  </si>
  <si>
    <t>KINDER-I</t>
  </si>
  <si>
    <t>KINDER-II</t>
  </si>
  <si>
    <t>Status</t>
  </si>
  <si>
    <t>Enrolled</t>
  </si>
  <si>
    <t>Filled</t>
  </si>
  <si>
    <t>Inquired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</si>
</sst>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3" tint="-0.249977111117893"/>
        <bgColor indexed="64"/>
      </patternFill>
    </fill>
  </fills>
  <borders count="19">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0" fontId="0" fillId="2" borderId="0" xfId="0" applyFill="1"/>
    <xf numFmtId="9" fontId="0" fillId="0" borderId="0" xfId="1" applyFont="1"/>
    <xf numFmtId="0" fontId="2" fillId="2" borderId="1" xfId="0" applyFont="1" applyFill="1" applyBorder="1"/>
    <xf numFmtId="0" fontId="0" fillId="0" borderId="2" xfId="0" applyBorder="1"/>
    <xf numFmtId="0" fontId="0" fillId="0" borderId="3" xfId="0" applyBorder="1"/>
    <xf numFmtId="9" fontId="0" fillId="0" borderId="4" xfId="1" applyFont="1" applyBorder="1"/>
    <xf numFmtId="9" fontId="0" fillId="0" borderId="5" xfId="1" applyFont="1" applyBorder="1"/>
    <xf numFmtId="0" fontId="0" fillId="0" borderId="7" xfId="0" applyBorder="1"/>
    <xf numFmtId="0" fontId="0" fillId="0" borderId="8" xfId="0" applyBorder="1"/>
    <xf numFmtId="0" fontId="0" fillId="0" borderId="9" xfId="0" applyBorder="1"/>
    <xf numFmtId="0" fontId="2" fillId="2" borderId="10" xfId="0" applyFont="1" applyFill="1" applyBorder="1"/>
    <xf numFmtId="0" fontId="2" fillId="2" borderId="11" xfId="0" applyFont="1" applyFill="1" applyBorder="1"/>
    <xf numFmtId="0" fontId="2" fillId="2" borderId="12" xfId="0" applyFont="1" applyFill="1" applyBorder="1"/>
    <xf numFmtId="0" fontId="0" fillId="0" borderId="6" xfId="0" pivotButton="1" applyBorder="1"/>
    <xf numFmtId="0" fontId="0" fillId="0" borderId="13" xfId="0" applyBorder="1"/>
    <xf numFmtId="0" fontId="0" fillId="0" borderId="14" xfId="0" applyBorder="1"/>
    <xf numFmtId="0" fontId="0" fillId="0" borderId="15" xfId="0" applyBorder="1"/>
    <xf numFmtId="0" fontId="0" fillId="0" borderId="16" xfId="0" applyBorder="1"/>
    <xf numFmtId="1" fontId="0" fillId="0" borderId="0" xfId="0" applyNumberFormat="1"/>
    <xf numFmtId="1" fontId="0" fillId="0" borderId="12" xfId="0" applyNumberFormat="1" applyBorder="1"/>
    <xf numFmtId="1" fontId="0" fillId="0" borderId="11" xfId="0" applyNumberFormat="1" applyBorder="1"/>
    <xf numFmtId="0" fontId="2" fillId="2" borderId="6" xfId="0" applyFont="1" applyFill="1" applyBorder="1"/>
    <xf numFmtId="1" fontId="0" fillId="0" borderId="17" xfId="0" applyNumberFormat="1" applyBorder="1"/>
    <xf numFmtId="1" fontId="0" fillId="0" borderId="18" xfId="0" applyNumberFormat="1" applyBorder="1"/>
    <xf numFmtId="0" fontId="0" fillId="0" borderId="6" xfId="0" applyNumberFormat="1" applyBorder="1"/>
    <xf numFmtId="1" fontId="0" fillId="0" borderId="8" xfId="0" applyNumberFormat="1" applyBorder="1"/>
    <xf numFmtId="0" fontId="0" fillId="0" borderId="13" xfId="0" applyNumberFormat="1" applyBorder="1"/>
    <xf numFmtId="0" fontId="0" fillId="0" borderId="9" xfId="0" applyNumberFormat="1" applyBorder="1"/>
    <xf numFmtId="0" fontId="0" fillId="0" borderId="14" xfId="0" applyNumberFormat="1" applyBorder="1"/>
    <xf numFmtId="0" fontId="0" fillId="0" borderId="15" xfId="0" applyNumberFormat="1" applyBorder="1"/>
    <xf numFmtId="0" fontId="0" fillId="0" borderId="16" xfId="0" applyNumberFormat="1" applyBorder="1"/>
    <xf numFmtId="0" fontId="0" fillId="0" borderId="10" xfId="0" applyNumberFormat="1" applyBorder="1"/>
    <xf numFmtId="0" fontId="0" fillId="0" borderId="11" xfId="0" applyNumberFormat="1" applyBorder="1"/>
    <xf numFmtId="0" fontId="0" fillId="0" borderId="2" xfId="0" applyNumberFormat="1" applyBorder="1"/>
    <xf numFmtId="0" fontId="2" fillId="2" borderId="7" xfId="0" applyFont="1" applyFill="1" applyBorder="1"/>
    <xf numFmtId="0" fontId="2" fillId="2" borderId="8" xfId="0" applyFont="1" applyFill="1" applyBorder="1"/>
  </cellXfs>
  <cellStyles count="2">
    <cellStyle name="Normal" xfId="0" builtinId="0"/>
    <cellStyle name="Percent" xfId="1" builtinId="5"/>
  </cellStyles>
  <dxfs count="7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ill>
        <patternFill patternType="none">
          <bgColor auto="1"/>
        </patternFill>
      </fill>
    </dxf>
    <dxf>
      <fill>
        <patternFill patternType="none">
          <bgColor auto="1"/>
        </patternFill>
      </fill>
    </dxf>
    <dxf>
      <font>
        <b/>
        <color theme="0"/>
      </font>
      <fill>
        <patternFill patternType="solid">
          <fgColor indexed="64"/>
          <bgColor theme="3"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0"/>
      </font>
      <fill>
        <patternFill patternType="solid">
          <fgColor indexed="64"/>
          <bgColor theme="3"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0"/>
      </font>
      <fill>
        <patternFill patternType="solid">
          <fgColor indexed="64"/>
          <bgColor theme="3"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0"/>
      </font>
      <fill>
        <patternFill patternType="solid">
          <fgColor indexed="64"/>
          <bgColor theme="3" tint="-0.249977111117893"/>
        </patternFill>
      </fill>
    </dxf>
    <dxf>
      <font>
        <b/>
        <color theme="0"/>
      </font>
      <fill>
        <patternFill patternType="solid">
          <fgColor indexed="64"/>
          <bgColor theme="3"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0"/>
      </font>
      <fill>
        <patternFill patternType="solid">
          <fgColor indexed="64"/>
          <bgColor theme="3"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0"/>
      </font>
      <fill>
        <patternFill patternType="solid">
          <fgColor indexed="64"/>
          <bgColor theme="3"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Date Slicer" pivot="0" table="0" count="4" xr9:uid="{626073B7-D6D1-45C0-A2EF-C91A74E2EBA9}">
      <tableStyleElement type="wholeTable" dxfId="33"/>
      <tableStyleElement type="headerRow" dxfId="32"/>
    </tableStyle>
  </tableStyles>
  <extLst>
    <ext xmlns:x14="http://schemas.microsoft.com/office/spreadsheetml/2009/9/main" uri="{46F421CA-312F-682f-3DD2-61675219B42D}">
      <x14:dxfs count="2">
        <dxf>
          <font>
            <b val="0"/>
            <i/>
            <sz val="11"/>
            <color theme="2" tint="-0.89996032593768116"/>
            <name val="Arial"/>
            <family val="2"/>
          </font>
          <fill>
            <patternFill>
              <fgColor theme="3" tint="0.39994506668294322"/>
              <bgColor theme="3" tint="-0.24994659260841701"/>
            </patternFill>
          </fill>
          <border>
            <left style="medium">
              <color auto="1"/>
            </left>
          </border>
        </dxf>
        <dxf>
          <font>
            <color theme="2" tint="-0.89996032593768116"/>
            <name val="Arial"/>
            <family val="2"/>
          </font>
          <fill>
            <patternFill patternType="none">
              <fgColor indexed="64"/>
              <bgColor auto="1"/>
            </patternFill>
          </fill>
        </dxf>
      </x14:dxfs>
    </ext>
    <ext xmlns:x14="http://schemas.microsoft.com/office/spreadsheetml/2009/9/main" uri="{EB79DEF2-80B8-43e5-95BD-54CBDDF9020C}">
      <x14:slicerStyles defaultSlicerStyle="SlicerStyleLight1">
        <x14:slicerStyle name="Date Slicer">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[ENrollment Progress Monitoring(AutoRecovered).xlsx]Analysis!Weektype</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w="19050">
            <a:noFill/>
          </a:ln>
          <a:effectLst/>
        </c:spPr>
      </c:pivotFmt>
      <c:pivotFmt>
        <c:idx val="6"/>
        <c:spPr>
          <a:solidFill>
            <a:schemeClr val="accent1"/>
          </a:solidFill>
          <a:ln w="19050">
            <a:noFill/>
          </a:ln>
          <a:effectLst/>
        </c:spPr>
      </c:pivotFmt>
    </c:pivotFmts>
    <c:plotArea>
      <c:layout/>
      <c:doughnutChart>
        <c:varyColors val="1"/>
        <c:ser>
          <c:idx val="0"/>
          <c:order val="0"/>
          <c:tx>
            <c:strRef>
              <c:f>Analysis!$AB$4</c:f>
              <c:strCache>
                <c:ptCount val="1"/>
                <c:pt idx="0">
                  <c:v>Total</c:v>
                </c:pt>
              </c:strCache>
            </c:strRef>
          </c:tx>
          <c:spPr>
            <a:ln>
              <a:noFill/>
            </a:ln>
          </c:spPr>
          <c:dPt>
            <c:idx val="0"/>
            <c:bubble3D val="0"/>
            <c:spPr>
              <a:solidFill>
                <a:schemeClr val="tx2">
                  <a:lumMod val="75000"/>
                </a:schemeClr>
              </a:solidFill>
              <a:ln w="19050">
                <a:noFill/>
              </a:ln>
              <a:effectLst/>
            </c:spPr>
            <c:extLst>
              <c:ext xmlns:c16="http://schemas.microsoft.com/office/drawing/2014/chart" uri="{C3380CC4-5D6E-409C-BE32-E72D297353CC}">
                <c16:uniqueId val="{00000001-054B-40A1-A6A1-84C6AF0A6F07}"/>
              </c:ext>
            </c:extLst>
          </c:dPt>
          <c:dPt>
            <c:idx val="1"/>
            <c:bubble3D val="0"/>
            <c:spPr>
              <a:solidFill>
                <a:schemeClr val="accent2"/>
              </a:solidFill>
              <a:ln w="19050">
                <a:noFill/>
              </a:ln>
              <a:effectLst/>
            </c:spPr>
            <c:extLst>
              <c:ext xmlns:c16="http://schemas.microsoft.com/office/drawing/2014/chart" uri="{C3380CC4-5D6E-409C-BE32-E72D297353CC}">
                <c16:uniqueId val="{00000003-054B-40A1-A6A1-84C6AF0A6F0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Analysis!$AA$5:$AA$6</c:f>
              <c:strCache>
                <c:ptCount val="2"/>
                <c:pt idx="0">
                  <c:v>Weekdays</c:v>
                </c:pt>
                <c:pt idx="1">
                  <c:v>Weekend</c:v>
                </c:pt>
              </c:strCache>
            </c:strRef>
          </c:cat>
          <c:val>
            <c:numRef>
              <c:f>Analysis!$AB$5:$AB$6</c:f>
              <c:numCache>
                <c:formatCode>General</c:formatCode>
                <c:ptCount val="2"/>
                <c:pt idx="0">
                  <c:v>850</c:v>
                </c:pt>
                <c:pt idx="1">
                  <c:v>350</c:v>
                </c:pt>
              </c:numCache>
            </c:numRef>
          </c:val>
          <c:extLst>
            <c:ext xmlns:c16="http://schemas.microsoft.com/office/drawing/2014/chart" uri="{C3380CC4-5D6E-409C-BE32-E72D297353CC}">
              <c16:uniqueId val="{00000004-054B-40A1-A6A1-84C6AF0A6F0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[ENrollment Progress Monitoring(AutoRecovered).xlsx]Analysis!Day Series Analaysys</c:name>
    <c:fmtId val="2"/>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5400" cap="rnd">
            <a:solidFill>
              <a:schemeClr val="tx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00044761846632E-2"/>
          <c:y val="0.19753086419753085"/>
          <c:w val="0.9322702394758795"/>
          <c:h val="0.65926995236706532"/>
        </c:manualLayout>
      </c:layout>
      <c:lineChart>
        <c:grouping val="standard"/>
        <c:varyColors val="0"/>
        <c:ser>
          <c:idx val="0"/>
          <c:order val="0"/>
          <c:tx>
            <c:strRef>
              <c:f>Analysis!$R$4</c:f>
              <c:strCache>
                <c:ptCount val="1"/>
                <c:pt idx="0">
                  <c:v>Total</c:v>
                </c:pt>
              </c:strCache>
            </c:strRef>
          </c:tx>
          <c:spPr>
            <a:ln w="25400" cap="rnd">
              <a:solidFill>
                <a:schemeClr val="tx2">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Analysis!$Q$5:$Q$11</c:f>
              <c:strCache>
                <c:ptCount val="7"/>
                <c:pt idx="0">
                  <c:v>Sun</c:v>
                </c:pt>
                <c:pt idx="1">
                  <c:v>Mon</c:v>
                </c:pt>
                <c:pt idx="2">
                  <c:v>Tue</c:v>
                </c:pt>
                <c:pt idx="3">
                  <c:v>Wed</c:v>
                </c:pt>
                <c:pt idx="4">
                  <c:v>Thu</c:v>
                </c:pt>
                <c:pt idx="5">
                  <c:v>Fri</c:v>
                </c:pt>
                <c:pt idx="6">
                  <c:v>Sat</c:v>
                </c:pt>
              </c:strCache>
            </c:strRef>
          </c:cat>
          <c:val>
            <c:numRef>
              <c:f>Analysis!$R$5:$R$11</c:f>
              <c:numCache>
                <c:formatCode>General</c:formatCode>
                <c:ptCount val="7"/>
                <c:pt idx="0">
                  <c:v>171</c:v>
                </c:pt>
                <c:pt idx="1">
                  <c:v>183</c:v>
                </c:pt>
                <c:pt idx="2">
                  <c:v>157</c:v>
                </c:pt>
                <c:pt idx="3">
                  <c:v>161</c:v>
                </c:pt>
                <c:pt idx="4">
                  <c:v>182</c:v>
                </c:pt>
                <c:pt idx="5">
                  <c:v>167</c:v>
                </c:pt>
                <c:pt idx="6">
                  <c:v>179</c:v>
                </c:pt>
              </c:numCache>
            </c:numRef>
          </c:val>
          <c:smooth val="1"/>
          <c:extLst>
            <c:ext xmlns:c16="http://schemas.microsoft.com/office/drawing/2014/chart" uri="{C3380CC4-5D6E-409C-BE32-E72D297353CC}">
              <c16:uniqueId val="{00000000-D982-472C-B903-218D17CEAE6A}"/>
            </c:ext>
          </c:extLst>
        </c:ser>
        <c:dLbls>
          <c:dLblPos val="t"/>
          <c:showLegendKey val="0"/>
          <c:showVal val="1"/>
          <c:showCatName val="0"/>
          <c:showSerName val="0"/>
          <c:showPercent val="0"/>
          <c:showBubbleSize val="0"/>
        </c:dLbls>
        <c:smooth val="0"/>
        <c:axId val="432365792"/>
        <c:axId val="432368672"/>
      </c:lineChart>
      <c:catAx>
        <c:axId val="432365792"/>
        <c:scaling>
          <c:orientation val="minMax"/>
        </c:scaling>
        <c:delete val="0"/>
        <c:axPos val="b"/>
        <c:numFmt formatCode="General" sourceLinked="1"/>
        <c:majorTickMark val="none"/>
        <c:minorTickMark val="none"/>
        <c:tickLblPos val="nextTo"/>
        <c:spPr>
          <a:noFill/>
          <a:ln w="9525" cap="flat" cmpd="sng" algn="ctr">
            <a:solidFill>
              <a:schemeClr val="bg2">
                <a:lumMod val="2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432368672"/>
        <c:crosses val="autoZero"/>
        <c:auto val="1"/>
        <c:lblAlgn val="ctr"/>
        <c:lblOffset val="100"/>
        <c:noMultiLvlLbl val="0"/>
      </c:catAx>
      <c:valAx>
        <c:axId val="432368672"/>
        <c:scaling>
          <c:orientation val="minMax"/>
        </c:scaling>
        <c:delete val="1"/>
        <c:axPos val="l"/>
        <c:numFmt formatCode="General" sourceLinked="1"/>
        <c:majorTickMark val="none"/>
        <c:minorTickMark val="none"/>
        <c:tickLblPos val="nextTo"/>
        <c:crossAx val="43236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[ENrollment Progress Monitoring(AutoRecovered).xlsx]Analysis!Month Series Analysis</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333921222810112E-2"/>
          <c:y val="0.2217997465145754"/>
          <c:w val="0.93533215755437982"/>
          <c:h val="0.63118968493957262"/>
        </c:manualLayout>
      </c:layout>
      <c:lineChart>
        <c:grouping val="standard"/>
        <c:varyColors val="0"/>
        <c:ser>
          <c:idx val="0"/>
          <c:order val="0"/>
          <c:tx>
            <c:strRef>
              <c:f>Analysis!$U$4</c:f>
              <c:strCache>
                <c:ptCount val="1"/>
                <c:pt idx="0">
                  <c:v>Total</c:v>
                </c:pt>
              </c:strCache>
            </c:strRef>
          </c:tx>
          <c:spPr>
            <a:ln w="25400" cap="rnd">
              <a:solidFill>
                <a:schemeClr val="tx2">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Analysis!$T$5:$T$16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Analysis!$U$5:$U$16</c:f>
              <c:numCache>
                <c:formatCode>General</c:formatCode>
                <c:ptCount val="12"/>
                <c:pt idx="0">
                  <c:v>111</c:v>
                </c:pt>
                <c:pt idx="1">
                  <c:v>104</c:v>
                </c:pt>
                <c:pt idx="2">
                  <c:v>105</c:v>
                </c:pt>
                <c:pt idx="3">
                  <c:v>112</c:v>
                </c:pt>
                <c:pt idx="4">
                  <c:v>88</c:v>
                </c:pt>
                <c:pt idx="5">
                  <c:v>87</c:v>
                </c:pt>
                <c:pt idx="6">
                  <c:v>101</c:v>
                </c:pt>
                <c:pt idx="7">
                  <c:v>93</c:v>
                </c:pt>
                <c:pt idx="8">
                  <c:v>90</c:v>
                </c:pt>
                <c:pt idx="9">
                  <c:v>108</c:v>
                </c:pt>
                <c:pt idx="10">
                  <c:v>110</c:v>
                </c:pt>
                <c:pt idx="11">
                  <c:v>91</c:v>
                </c:pt>
              </c:numCache>
            </c:numRef>
          </c:val>
          <c:smooth val="1"/>
          <c:extLst>
            <c:ext xmlns:c16="http://schemas.microsoft.com/office/drawing/2014/chart" uri="{C3380CC4-5D6E-409C-BE32-E72D297353CC}">
              <c16:uniqueId val="{00000000-0043-4831-995E-1E281B44755A}"/>
            </c:ext>
          </c:extLst>
        </c:ser>
        <c:dLbls>
          <c:showLegendKey val="0"/>
          <c:showVal val="0"/>
          <c:showCatName val="0"/>
          <c:showSerName val="0"/>
          <c:showPercent val="0"/>
          <c:showBubbleSize val="0"/>
        </c:dLbls>
        <c:smooth val="0"/>
        <c:axId val="2026022160"/>
        <c:axId val="2026024080"/>
      </c:lineChart>
      <c:catAx>
        <c:axId val="2026022160"/>
        <c:scaling>
          <c:orientation val="minMax"/>
        </c:scaling>
        <c:delete val="0"/>
        <c:axPos val="b"/>
        <c:numFmt formatCode="General" sourceLinked="1"/>
        <c:majorTickMark val="none"/>
        <c:minorTickMark val="none"/>
        <c:tickLblPos val="nextTo"/>
        <c:spPr>
          <a:noFill/>
          <a:ln w="9525" cap="flat" cmpd="sng" algn="ctr">
            <a:solidFill>
              <a:schemeClr val="tx1">
                <a:lumMod val="85000"/>
                <a:lumOff val="1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2026024080"/>
        <c:crosses val="autoZero"/>
        <c:auto val="1"/>
        <c:lblAlgn val="ctr"/>
        <c:lblOffset val="100"/>
        <c:noMultiLvlLbl val="0"/>
      </c:catAx>
      <c:valAx>
        <c:axId val="2026024080"/>
        <c:scaling>
          <c:orientation val="minMax"/>
        </c:scaling>
        <c:delete val="1"/>
        <c:axPos val="l"/>
        <c:numFmt formatCode="General" sourceLinked="1"/>
        <c:majorTickMark val="none"/>
        <c:minorTickMark val="none"/>
        <c:tickLblPos val="nextTo"/>
        <c:crossAx val="202602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[ENrollment Progress Monitoring(AutoRecovered).xlsx]Analysis!Student_Level</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47906011122827"/>
          <c:y val="9.720915647538414E-2"/>
          <c:w val="0.71863024318455815"/>
          <c:h val="0.86829727187206018"/>
        </c:manualLayout>
      </c:layout>
      <c:barChart>
        <c:barDir val="bar"/>
        <c:grouping val="clustered"/>
        <c:varyColors val="0"/>
        <c:ser>
          <c:idx val="0"/>
          <c:order val="0"/>
          <c:tx>
            <c:strRef>
              <c:f>Analysis!$AQ$4</c:f>
              <c:strCache>
                <c:ptCount val="1"/>
                <c:pt idx="0">
                  <c:v>Count of Name</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Analysis!$AP$5:$AP$17</c:f>
              <c:strCache>
                <c:ptCount val="13"/>
                <c:pt idx="0">
                  <c:v>KINDER-I</c:v>
                </c:pt>
                <c:pt idx="1">
                  <c:v>KINDER-II</c:v>
                </c:pt>
                <c:pt idx="2">
                  <c:v>GRADE-I</c:v>
                </c:pt>
                <c:pt idx="3">
                  <c:v>GRADE-II</c:v>
                </c:pt>
                <c:pt idx="4">
                  <c:v>GRADE-III</c:v>
                </c:pt>
                <c:pt idx="5">
                  <c:v>GRADE-IV</c:v>
                </c:pt>
                <c:pt idx="6">
                  <c:v>GRADE-IX</c:v>
                </c:pt>
                <c:pt idx="7">
                  <c:v>GRADE-V</c:v>
                </c:pt>
                <c:pt idx="8">
                  <c:v>GRADE-VI</c:v>
                </c:pt>
                <c:pt idx="9">
                  <c:v>GRADE-VIII</c:v>
                </c:pt>
                <c:pt idx="10">
                  <c:v>GRADE-X</c:v>
                </c:pt>
                <c:pt idx="11">
                  <c:v>GRADE-XI</c:v>
                </c:pt>
                <c:pt idx="12">
                  <c:v>GRADE-XII</c:v>
                </c:pt>
              </c:strCache>
            </c:strRef>
          </c:cat>
          <c:val>
            <c:numRef>
              <c:f>Analysis!$AQ$5:$AQ$17</c:f>
              <c:numCache>
                <c:formatCode>General</c:formatCode>
                <c:ptCount val="13"/>
                <c:pt idx="0">
                  <c:v>89</c:v>
                </c:pt>
                <c:pt idx="1">
                  <c:v>97</c:v>
                </c:pt>
                <c:pt idx="2">
                  <c:v>76</c:v>
                </c:pt>
                <c:pt idx="3">
                  <c:v>86</c:v>
                </c:pt>
                <c:pt idx="4">
                  <c:v>90</c:v>
                </c:pt>
                <c:pt idx="5">
                  <c:v>99</c:v>
                </c:pt>
                <c:pt idx="6">
                  <c:v>80</c:v>
                </c:pt>
                <c:pt idx="7">
                  <c:v>95</c:v>
                </c:pt>
                <c:pt idx="8">
                  <c:v>95</c:v>
                </c:pt>
                <c:pt idx="9">
                  <c:v>109</c:v>
                </c:pt>
                <c:pt idx="10">
                  <c:v>98</c:v>
                </c:pt>
                <c:pt idx="11">
                  <c:v>87</c:v>
                </c:pt>
                <c:pt idx="12">
                  <c:v>99</c:v>
                </c:pt>
              </c:numCache>
            </c:numRef>
          </c:val>
          <c:extLst>
            <c:ext xmlns:c16="http://schemas.microsoft.com/office/drawing/2014/chart" uri="{C3380CC4-5D6E-409C-BE32-E72D297353CC}">
              <c16:uniqueId val="{00000000-2860-48DA-8430-66A727522FB9}"/>
            </c:ext>
          </c:extLst>
        </c:ser>
        <c:ser>
          <c:idx val="1"/>
          <c:order val="1"/>
          <c:tx>
            <c:strRef>
              <c:f>Analysis!$AR$4</c:f>
              <c:strCache>
                <c:ptCount val="1"/>
                <c:pt idx="0">
                  <c:v>Total Enrolled</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Analysis!$AP$5:$AP$17</c:f>
              <c:strCache>
                <c:ptCount val="13"/>
                <c:pt idx="0">
                  <c:v>KINDER-I</c:v>
                </c:pt>
                <c:pt idx="1">
                  <c:v>KINDER-II</c:v>
                </c:pt>
                <c:pt idx="2">
                  <c:v>GRADE-I</c:v>
                </c:pt>
                <c:pt idx="3">
                  <c:v>GRADE-II</c:v>
                </c:pt>
                <c:pt idx="4">
                  <c:v>GRADE-III</c:v>
                </c:pt>
                <c:pt idx="5">
                  <c:v>GRADE-IV</c:v>
                </c:pt>
                <c:pt idx="6">
                  <c:v>GRADE-IX</c:v>
                </c:pt>
                <c:pt idx="7">
                  <c:v>GRADE-V</c:v>
                </c:pt>
                <c:pt idx="8">
                  <c:v>GRADE-VI</c:v>
                </c:pt>
                <c:pt idx="9">
                  <c:v>GRADE-VIII</c:v>
                </c:pt>
                <c:pt idx="10">
                  <c:v>GRADE-X</c:v>
                </c:pt>
                <c:pt idx="11">
                  <c:v>GRADE-XI</c:v>
                </c:pt>
                <c:pt idx="12">
                  <c:v>GRADE-XII</c:v>
                </c:pt>
              </c:strCache>
            </c:strRef>
          </c:cat>
          <c:val>
            <c:numRef>
              <c:f>Analysis!$AR$5:$AR$17</c:f>
              <c:numCache>
                <c:formatCode>0</c:formatCode>
                <c:ptCount val="13"/>
                <c:pt idx="0">
                  <c:v>34</c:v>
                </c:pt>
                <c:pt idx="1">
                  <c:v>33</c:v>
                </c:pt>
                <c:pt idx="2">
                  <c:v>22</c:v>
                </c:pt>
                <c:pt idx="3">
                  <c:v>32</c:v>
                </c:pt>
                <c:pt idx="4">
                  <c:v>34</c:v>
                </c:pt>
                <c:pt idx="5">
                  <c:v>32</c:v>
                </c:pt>
                <c:pt idx="6">
                  <c:v>34</c:v>
                </c:pt>
                <c:pt idx="7">
                  <c:v>34</c:v>
                </c:pt>
                <c:pt idx="8">
                  <c:v>27</c:v>
                </c:pt>
                <c:pt idx="9">
                  <c:v>44</c:v>
                </c:pt>
                <c:pt idx="10">
                  <c:v>37</c:v>
                </c:pt>
                <c:pt idx="11">
                  <c:v>23</c:v>
                </c:pt>
                <c:pt idx="12">
                  <c:v>39</c:v>
                </c:pt>
              </c:numCache>
            </c:numRef>
          </c:val>
          <c:extLst>
            <c:ext xmlns:c16="http://schemas.microsoft.com/office/drawing/2014/chart" uri="{C3380CC4-5D6E-409C-BE32-E72D297353CC}">
              <c16:uniqueId val="{00000002-88A5-4D35-A5CF-B05CEB305B7C}"/>
            </c:ext>
          </c:extLst>
        </c:ser>
        <c:dLbls>
          <c:dLblPos val="outEnd"/>
          <c:showLegendKey val="0"/>
          <c:showVal val="1"/>
          <c:showCatName val="0"/>
          <c:showSerName val="0"/>
          <c:showPercent val="0"/>
          <c:showBubbleSize val="0"/>
        </c:dLbls>
        <c:gapWidth val="210"/>
        <c:axId val="1461509935"/>
        <c:axId val="1461510415"/>
      </c:barChart>
      <c:catAx>
        <c:axId val="1461509935"/>
        <c:scaling>
          <c:orientation val="maxMin"/>
        </c:scaling>
        <c:delete val="0"/>
        <c:axPos val="l"/>
        <c:numFmt formatCode="General" sourceLinked="1"/>
        <c:majorTickMark val="none"/>
        <c:minorTickMark val="none"/>
        <c:tickLblPos val="nextTo"/>
        <c:spPr>
          <a:noFill/>
          <a:ln w="9525" cap="flat" cmpd="sng" algn="ctr">
            <a:solidFill>
              <a:schemeClr val="tx2">
                <a:lumMod val="50000"/>
              </a:schemeClr>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461510415"/>
        <c:crosses val="autoZero"/>
        <c:auto val="1"/>
        <c:lblAlgn val="ctr"/>
        <c:lblOffset val="100"/>
        <c:noMultiLvlLbl val="0"/>
      </c:catAx>
      <c:valAx>
        <c:axId val="1461510415"/>
        <c:scaling>
          <c:orientation val="minMax"/>
        </c:scaling>
        <c:delete val="1"/>
        <c:axPos val="t"/>
        <c:numFmt formatCode="General" sourceLinked="1"/>
        <c:majorTickMark val="none"/>
        <c:minorTickMark val="none"/>
        <c:tickLblPos val="nextTo"/>
        <c:crossAx val="146150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[ENrollment Progress Monitoring(AutoRecovered).xlsx]Analysis!Status</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pivotFmt>
      <c:pivotFmt>
        <c:idx val="4"/>
        <c:spPr>
          <a:solidFill>
            <a:schemeClr val="accent2">
              <a:lumMod val="75000"/>
            </a:schemeClr>
          </a:solidFill>
          <a:ln>
            <a:noFill/>
          </a:ln>
          <a:effectLst/>
        </c:spPr>
      </c:pivotFmt>
      <c:pivotFmt>
        <c:idx val="5"/>
        <c:spPr>
          <a:solidFill>
            <a:schemeClr val="accent6">
              <a:lumMod val="75000"/>
            </a:schemeClr>
          </a:solidFill>
          <a:ln>
            <a:noFill/>
          </a:ln>
          <a:effectLst/>
        </c:spPr>
      </c:pivotFmt>
    </c:pivotFmts>
    <c:plotArea>
      <c:layout/>
      <c:barChart>
        <c:barDir val="col"/>
        <c:grouping val="clustered"/>
        <c:varyColors val="0"/>
        <c:ser>
          <c:idx val="0"/>
          <c:order val="0"/>
          <c:tx>
            <c:strRef>
              <c:f>Analysis!$AX$4</c:f>
              <c:strCache>
                <c:ptCount val="1"/>
                <c:pt idx="0">
                  <c:v>Total</c:v>
                </c:pt>
              </c:strCache>
            </c:strRef>
          </c:tx>
          <c:spPr>
            <a:solidFill>
              <a:schemeClr val="accent1"/>
            </a:solidFill>
            <a:ln>
              <a:noFill/>
            </a:ln>
            <a:effectLst/>
          </c:spPr>
          <c:invertIfNegative val="0"/>
          <c:dPt>
            <c:idx val="0"/>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1-2055-466E-8BEA-BFCEE6D12681}"/>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2-2055-466E-8BEA-BFCEE6D12681}"/>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2055-466E-8BEA-BFCEE6D12681}"/>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Analysis!$AW$5:$AW$7</c:f>
              <c:strCache>
                <c:ptCount val="3"/>
                <c:pt idx="0">
                  <c:v>Inquired</c:v>
                </c:pt>
                <c:pt idx="1">
                  <c:v>Filled</c:v>
                </c:pt>
                <c:pt idx="2">
                  <c:v>Enrolled</c:v>
                </c:pt>
              </c:strCache>
            </c:strRef>
          </c:cat>
          <c:val>
            <c:numRef>
              <c:f>Analysis!$AX$5:$AX$7</c:f>
              <c:numCache>
                <c:formatCode>General</c:formatCode>
                <c:ptCount val="3"/>
                <c:pt idx="0">
                  <c:v>463</c:v>
                </c:pt>
                <c:pt idx="1">
                  <c:v>312</c:v>
                </c:pt>
                <c:pt idx="2">
                  <c:v>425</c:v>
                </c:pt>
              </c:numCache>
            </c:numRef>
          </c:val>
          <c:extLst>
            <c:ext xmlns:c16="http://schemas.microsoft.com/office/drawing/2014/chart" uri="{C3380CC4-5D6E-409C-BE32-E72D297353CC}">
              <c16:uniqueId val="{00000000-2055-466E-8BEA-BFCEE6D12681}"/>
            </c:ext>
          </c:extLst>
        </c:ser>
        <c:dLbls>
          <c:dLblPos val="outEnd"/>
          <c:showLegendKey val="0"/>
          <c:showVal val="1"/>
          <c:showCatName val="0"/>
          <c:showSerName val="0"/>
          <c:showPercent val="0"/>
          <c:showBubbleSize val="0"/>
        </c:dLbls>
        <c:gapWidth val="219"/>
        <c:overlap val="-27"/>
        <c:axId val="460058848"/>
        <c:axId val="1869740208"/>
      </c:barChart>
      <c:catAx>
        <c:axId val="460058848"/>
        <c:scaling>
          <c:orientation val="minMax"/>
        </c:scaling>
        <c:delete val="0"/>
        <c:axPos val="b"/>
        <c:numFmt formatCode="General" sourceLinked="1"/>
        <c:majorTickMark val="none"/>
        <c:minorTickMark val="none"/>
        <c:tickLblPos val="nextTo"/>
        <c:spPr>
          <a:noFill/>
          <a:ln w="9525" cap="flat" cmpd="sng" algn="ctr">
            <a:solidFill>
              <a:schemeClr val="tx2">
                <a:lumMod val="50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69740208"/>
        <c:crosses val="autoZero"/>
        <c:auto val="1"/>
        <c:lblAlgn val="ctr"/>
        <c:lblOffset val="100"/>
        <c:noMultiLvlLbl val="0"/>
      </c:catAx>
      <c:valAx>
        <c:axId val="1869740208"/>
        <c:scaling>
          <c:orientation val="minMax"/>
        </c:scaling>
        <c:delete val="1"/>
        <c:axPos val="l"/>
        <c:numFmt formatCode="General" sourceLinked="1"/>
        <c:majorTickMark val="none"/>
        <c:minorTickMark val="none"/>
        <c:tickLblPos val="nextTo"/>
        <c:crossAx val="46005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[ENrollment Progress Monitoring(AutoRecovered).xlsx]Analysis!Channel</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Analysis!$AI$4</c:f>
              <c:strCache>
                <c:ptCount val="1"/>
                <c:pt idx="0">
                  <c:v>Count of Name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Analysis!$AH$5:$AH$10</c:f>
              <c:strCache>
                <c:ptCount val="6"/>
                <c:pt idx="0">
                  <c:v>Instagram</c:v>
                </c:pt>
                <c:pt idx="1">
                  <c:v>Referrals</c:v>
                </c:pt>
                <c:pt idx="2">
                  <c:v>School Tour</c:v>
                </c:pt>
                <c:pt idx="3">
                  <c:v>Walk-in</c:v>
                </c:pt>
                <c:pt idx="4">
                  <c:v>Facebook</c:v>
                </c:pt>
                <c:pt idx="5">
                  <c:v>Tiktok</c:v>
                </c:pt>
              </c:strCache>
            </c:strRef>
          </c:cat>
          <c:val>
            <c:numRef>
              <c:f>Analysis!$AI$5:$AI$10</c:f>
              <c:numCache>
                <c:formatCode>General</c:formatCode>
                <c:ptCount val="6"/>
                <c:pt idx="0">
                  <c:v>204</c:v>
                </c:pt>
                <c:pt idx="1">
                  <c:v>186</c:v>
                </c:pt>
                <c:pt idx="2">
                  <c:v>204</c:v>
                </c:pt>
                <c:pt idx="3">
                  <c:v>217</c:v>
                </c:pt>
                <c:pt idx="4">
                  <c:v>205</c:v>
                </c:pt>
                <c:pt idx="5">
                  <c:v>184</c:v>
                </c:pt>
              </c:numCache>
            </c:numRef>
          </c:val>
          <c:extLst>
            <c:ext xmlns:c16="http://schemas.microsoft.com/office/drawing/2014/chart" uri="{C3380CC4-5D6E-409C-BE32-E72D297353CC}">
              <c16:uniqueId val="{00000000-8F35-4156-B21C-823F4A5734F6}"/>
            </c:ext>
          </c:extLst>
        </c:ser>
        <c:ser>
          <c:idx val="1"/>
          <c:order val="1"/>
          <c:tx>
            <c:strRef>
              <c:f>Analysis!$AJ$4</c:f>
              <c:strCache>
                <c:ptCount val="1"/>
                <c:pt idx="0">
                  <c:v>Total Enrolled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Analysis!$AH$5:$AH$10</c:f>
              <c:strCache>
                <c:ptCount val="6"/>
                <c:pt idx="0">
                  <c:v>Instagram</c:v>
                </c:pt>
                <c:pt idx="1">
                  <c:v>Referrals</c:v>
                </c:pt>
                <c:pt idx="2">
                  <c:v>School Tour</c:v>
                </c:pt>
                <c:pt idx="3">
                  <c:v>Walk-in</c:v>
                </c:pt>
                <c:pt idx="4">
                  <c:v>Facebook</c:v>
                </c:pt>
                <c:pt idx="5">
                  <c:v>Tiktok</c:v>
                </c:pt>
              </c:strCache>
            </c:strRef>
          </c:cat>
          <c:val>
            <c:numRef>
              <c:f>Analysis!$AJ$5:$AJ$10</c:f>
              <c:numCache>
                <c:formatCode>0</c:formatCode>
                <c:ptCount val="6"/>
                <c:pt idx="0">
                  <c:v>75</c:v>
                </c:pt>
                <c:pt idx="1">
                  <c:v>75</c:v>
                </c:pt>
                <c:pt idx="2">
                  <c:v>67</c:v>
                </c:pt>
                <c:pt idx="3">
                  <c:v>72</c:v>
                </c:pt>
                <c:pt idx="4">
                  <c:v>67</c:v>
                </c:pt>
                <c:pt idx="5">
                  <c:v>69</c:v>
                </c:pt>
              </c:numCache>
            </c:numRef>
          </c:val>
          <c:extLst>
            <c:ext xmlns:c16="http://schemas.microsoft.com/office/drawing/2014/chart" uri="{C3380CC4-5D6E-409C-BE32-E72D297353CC}">
              <c16:uniqueId val="{00000000-AA1C-4871-8954-AE59D723B787}"/>
            </c:ext>
          </c:extLst>
        </c:ser>
        <c:dLbls>
          <c:showLegendKey val="0"/>
          <c:showVal val="1"/>
          <c:showCatName val="0"/>
          <c:showSerName val="0"/>
          <c:showPercent val="0"/>
          <c:showBubbleSize val="0"/>
        </c:dLbls>
        <c:gapWidth val="219"/>
        <c:overlap val="100"/>
        <c:axId val="1461494575"/>
        <c:axId val="1461513775"/>
      </c:barChart>
      <c:catAx>
        <c:axId val="1461494575"/>
        <c:scaling>
          <c:orientation val="minMax"/>
        </c:scaling>
        <c:delete val="0"/>
        <c:axPos val="b"/>
        <c:numFmt formatCode="General" sourceLinked="1"/>
        <c:majorTickMark val="none"/>
        <c:minorTickMark val="none"/>
        <c:tickLblPos val="nextTo"/>
        <c:spPr>
          <a:noFill/>
          <a:ln w="9525" cap="flat" cmpd="sng" algn="ctr">
            <a:solidFill>
              <a:schemeClr val="tx2">
                <a:lumMod val="50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1461513775"/>
        <c:crosses val="autoZero"/>
        <c:auto val="1"/>
        <c:lblAlgn val="ctr"/>
        <c:lblOffset val="100"/>
        <c:noMultiLvlLbl val="0"/>
      </c:catAx>
      <c:valAx>
        <c:axId val="1461513775"/>
        <c:scaling>
          <c:orientation val="minMax"/>
        </c:scaling>
        <c:delete val="1"/>
        <c:axPos val="l"/>
        <c:numFmt formatCode="General" sourceLinked="1"/>
        <c:majorTickMark val="none"/>
        <c:minorTickMark val="none"/>
        <c:tickLblPos val="nextTo"/>
        <c:crossAx val="146149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441960</xdr:colOff>
      <xdr:row>14</xdr:row>
      <xdr:rowOff>15240</xdr:rowOff>
    </xdr:from>
    <xdr:to>
      <xdr:col>15</xdr:col>
      <xdr:colOff>121920</xdr:colOff>
      <xdr:row>24</xdr:row>
      <xdr:rowOff>152400</xdr:rowOff>
    </xdr:to>
    <xdr:sp macro="" textlink="">
      <xdr:nvSpPr>
        <xdr:cNvPr id="78" name="Rectangle: Rounded Corners 77">
          <a:extLst>
            <a:ext uri="{FF2B5EF4-FFF2-40B4-BE49-F238E27FC236}">
              <a16:creationId xmlns:a16="http://schemas.microsoft.com/office/drawing/2014/main" id="{A5C58880-2926-46BC-82C2-54ADC44D645F}"/>
            </a:ext>
          </a:extLst>
        </xdr:cNvPr>
        <xdr:cNvSpPr/>
      </xdr:nvSpPr>
      <xdr:spPr>
        <a:xfrm>
          <a:off x="7757160" y="2575560"/>
          <a:ext cx="1508760" cy="1965960"/>
        </a:xfrm>
        <a:prstGeom prst="roundRect">
          <a:avLst>
            <a:gd name="adj" fmla="val 6207"/>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b="0">
            <a:solidFill>
              <a:schemeClr val="bg1">
                <a:lumMod val="85000"/>
              </a:schemeClr>
            </a:solidFill>
            <a:latin typeface="Arial Black" panose="020B0A04020102020204" pitchFamily="34" charset="0"/>
          </a:endParaRPr>
        </a:p>
      </xdr:txBody>
    </xdr:sp>
    <xdr:clientData/>
  </xdr:twoCellAnchor>
  <xdr:twoCellAnchor>
    <xdr:from>
      <xdr:col>7</xdr:col>
      <xdr:colOff>312420</xdr:colOff>
      <xdr:row>0</xdr:row>
      <xdr:rowOff>121920</xdr:rowOff>
    </xdr:from>
    <xdr:to>
      <xdr:col>15</xdr:col>
      <xdr:colOff>42672</xdr:colOff>
      <xdr:row>2</xdr:row>
      <xdr:rowOff>129540</xdr:rowOff>
    </xdr:to>
    <xdr:sp macro="" textlink="">
      <xdr:nvSpPr>
        <xdr:cNvPr id="2" name="Rectangle: Rounded Corners 1">
          <a:extLst>
            <a:ext uri="{FF2B5EF4-FFF2-40B4-BE49-F238E27FC236}">
              <a16:creationId xmlns:a16="http://schemas.microsoft.com/office/drawing/2014/main" id="{57151711-81AA-FD60-33EB-E510D9147BB2}"/>
            </a:ext>
          </a:extLst>
        </xdr:cNvPr>
        <xdr:cNvSpPr/>
      </xdr:nvSpPr>
      <xdr:spPr>
        <a:xfrm>
          <a:off x="4579620" y="121920"/>
          <a:ext cx="4607052" cy="373380"/>
        </a:xfrm>
        <a:prstGeom prst="roundRect">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500" b="1">
              <a:solidFill>
                <a:schemeClr val="bg1">
                  <a:lumMod val="85000"/>
                </a:schemeClr>
              </a:solidFill>
              <a:latin typeface="Arial Black" panose="020B0A04020102020204" pitchFamily="34" charset="0"/>
            </a:rPr>
            <a:t>ENROLLMENT PROGRESS MONITORING</a:t>
          </a:r>
        </a:p>
      </xdr:txBody>
    </xdr:sp>
    <xdr:clientData/>
  </xdr:twoCellAnchor>
  <xdr:twoCellAnchor>
    <xdr:from>
      <xdr:col>12</xdr:col>
      <xdr:colOff>472440</xdr:colOff>
      <xdr:row>4</xdr:row>
      <xdr:rowOff>45720</xdr:rowOff>
    </xdr:from>
    <xdr:to>
      <xdr:col>15</xdr:col>
      <xdr:colOff>42672</xdr:colOff>
      <xdr:row>12</xdr:row>
      <xdr:rowOff>100584</xdr:rowOff>
    </xdr:to>
    <xdr:grpSp>
      <xdr:nvGrpSpPr>
        <xdr:cNvPr id="30" name="Group 29">
          <a:extLst>
            <a:ext uri="{FF2B5EF4-FFF2-40B4-BE49-F238E27FC236}">
              <a16:creationId xmlns:a16="http://schemas.microsoft.com/office/drawing/2014/main" id="{53C95C84-5DB3-9385-ACAF-B4C1C1B5BDFF}"/>
            </a:ext>
          </a:extLst>
        </xdr:cNvPr>
        <xdr:cNvGrpSpPr/>
      </xdr:nvGrpSpPr>
      <xdr:grpSpPr>
        <a:xfrm>
          <a:off x="7787640" y="777240"/>
          <a:ext cx="1399032" cy="1517904"/>
          <a:chOff x="6248400" y="975360"/>
          <a:chExt cx="1399032" cy="1517904"/>
        </a:xfrm>
      </xdr:grpSpPr>
      <xdr:sp macro="" textlink="">
        <xdr:nvSpPr>
          <xdr:cNvPr id="13" name="Rectangle: Rounded Corners 12">
            <a:extLst>
              <a:ext uri="{FF2B5EF4-FFF2-40B4-BE49-F238E27FC236}">
                <a16:creationId xmlns:a16="http://schemas.microsoft.com/office/drawing/2014/main" id="{5F98274B-AF10-072C-FBF7-0EBABF2764A7}"/>
              </a:ext>
            </a:extLst>
          </xdr:cNvPr>
          <xdr:cNvSpPr/>
        </xdr:nvSpPr>
        <xdr:spPr>
          <a:xfrm>
            <a:off x="6248400" y="975360"/>
            <a:ext cx="1399032" cy="1517904"/>
          </a:xfrm>
          <a:prstGeom prst="roundRect">
            <a:avLst>
              <a:gd name="adj" fmla="val 6207"/>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b="1">
              <a:solidFill>
                <a:schemeClr val="bg1">
                  <a:lumMod val="85000"/>
                </a:schemeClr>
              </a:solidFill>
              <a:latin typeface="Arial Black" panose="020B0A04020102020204" pitchFamily="34" charset="0"/>
            </a:endParaRPr>
          </a:p>
        </xdr:txBody>
      </xdr:sp>
      <xdr:sp macro="" textlink="">
        <xdr:nvSpPr>
          <xdr:cNvPr id="14" name="Rectangle: Rounded Corners 13">
            <a:extLst>
              <a:ext uri="{FF2B5EF4-FFF2-40B4-BE49-F238E27FC236}">
                <a16:creationId xmlns:a16="http://schemas.microsoft.com/office/drawing/2014/main" id="{69643E65-EEDE-992C-1BFD-547029F44840}"/>
              </a:ext>
            </a:extLst>
          </xdr:cNvPr>
          <xdr:cNvSpPr/>
        </xdr:nvSpPr>
        <xdr:spPr>
          <a:xfrm>
            <a:off x="6431280" y="1021080"/>
            <a:ext cx="1097280" cy="251460"/>
          </a:xfrm>
          <a:prstGeom prst="round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chemeClr val="accent6">
                    <a:lumMod val="75000"/>
                  </a:schemeClr>
                </a:solidFill>
                <a:latin typeface="Arial Black" panose="020B0A04020102020204" pitchFamily="34" charset="0"/>
              </a:rPr>
              <a:t>ENROLLED</a:t>
            </a:r>
          </a:p>
        </xdr:txBody>
      </xdr:sp>
      <xdr:grpSp>
        <xdr:nvGrpSpPr>
          <xdr:cNvPr id="27" name="Group 26">
            <a:extLst>
              <a:ext uri="{FF2B5EF4-FFF2-40B4-BE49-F238E27FC236}">
                <a16:creationId xmlns:a16="http://schemas.microsoft.com/office/drawing/2014/main" id="{FECE2D9F-801C-E9E6-6815-78B233F89176}"/>
              </a:ext>
            </a:extLst>
          </xdr:cNvPr>
          <xdr:cNvGrpSpPr/>
        </xdr:nvGrpSpPr>
        <xdr:grpSpPr>
          <a:xfrm>
            <a:off x="6419850" y="1295400"/>
            <a:ext cx="1104900" cy="603504"/>
            <a:chOff x="6431280" y="1295400"/>
            <a:chExt cx="1104900" cy="603504"/>
          </a:xfrm>
        </xdr:grpSpPr>
        <xdr:sp macro="" textlink="Analysis!D6">
          <xdr:nvSpPr>
            <xdr:cNvPr id="15" name="Rectangle: Rounded Corners 14">
              <a:extLst>
                <a:ext uri="{FF2B5EF4-FFF2-40B4-BE49-F238E27FC236}">
                  <a16:creationId xmlns:a16="http://schemas.microsoft.com/office/drawing/2014/main" id="{04D5DDAD-DAC0-80F3-47A2-9844448F0E8D}"/>
                </a:ext>
              </a:extLst>
            </xdr:cNvPr>
            <xdr:cNvSpPr/>
          </xdr:nvSpPr>
          <xdr:spPr>
            <a:xfrm>
              <a:off x="6431280" y="1295400"/>
              <a:ext cx="1097280" cy="603504"/>
            </a:xfrm>
            <a:prstGeom prst="roundRect">
              <a:avLst>
                <a:gd name="adj" fmla="val 11617"/>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B0C91F3-7BD2-408C-851E-523E0DD848EE}" type="TxLink">
                <a:rPr lang="en-US" sz="2200" b="1" i="0" u="none" strike="noStrike">
                  <a:solidFill>
                    <a:schemeClr val="accent6">
                      <a:lumMod val="75000"/>
                    </a:schemeClr>
                  </a:solidFill>
                  <a:latin typeface="Arial Black" panose="020B0A04020102020204" pitchFamily="34" charset="0"/>
                  <a:ea typeface="Calibri"/>
                  <a:cs typeface="Calibri"/>
                </a:rPr>
                <a:pPr algn="ctr"/>
                <a:t>35%</a:t>
              </a:fld>
              <a:endParaRPr lang="en-US" sz="2200" b="1">
                <a:solidFill>
                  <a:schemeClr val="accent6">
                    <a:lumMod val="75000"/>
                  </a:schemeClr>
                </a:solidFill>
                <a:latin typeface="Arial Black" panose="020B0A04020102020204" pitchFamily="34" charset="0"/>
              </a:endParaRPr>
            </a:p>
          </xdr:txBody>
        </xdr:sp>
        <xdr:sp macro="" textlink="">
          <xdr:nvSpPr>
            <xdr:cNvPr id="23" name="Rectangle: Rounded Corners 22">
              <a:extLst>
                <a:ext uri="{FF2B5EF4-FFF2-40B4-BE49-F238E27FC236}">
                  <a16:creationId xmlns:a16="http://schemas.microsoft.com/office/drawing/2014/main" id="{CB1D7B0A-5DED-4BA7-B575-286726F7BE38}"/>
                </a:ext>
              </a:extLst>
            </xdr:cNvPr>
            <xdr:cNvSpPr/>
          </xdr:nvSpPr>
          <xdr:spPr>
            <a:xfrm>
              <a:off x="6454140" y="1638300"/>
              <a:ext cx="1082040" cy="1981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0">
                  <a:solidFill>
                    <a:schemeClr val="accent6">
                      <a:lumMod val="75000"/>
                    </a:schemeClr>
                  </a:solidFill>
                  <a:latin typeface="Arial" panose="020B0604020202020204" pitchFamily="34" charset="0"/>
                  <a:cs typeface="Arial" panose="020B0604020202020204" pitchFamily="34" charset="0"/>
                </a:rPr>
                <a:t>Convertion Rate</a:t>
              </a:r>
            </a:p>
          </xdr:txBody>
        </xdr:sp>
      </xdr:grpSp>
      <xdr:grpSp>
        <xdr:nvGrpSpPr>
          <xdr:cNvPr id="29" name="Group 28">
            <a:extLst>
              <a:ext uri="{FF2B5EF4-FFF2-40B4-BE49-F238E27FC236}">
                <a16:creationId xmlns:a16="http://schemas.microsoft.com/office/drawing/2014/main" id="{37945ADE-2EB3-22AC-A001-2F90364FCAD3}"/>
              </a:ext>
            </a:extLst>
          </xdr:cNvPr>
          <xdr:cNvGrpSpPr/>
        </xdr:nvGrpSpPr>
        <xdr:grpSpPr>
          <a:xfrm>
            <a:off x="6435090" y="1935480"/>
            <a:ext cx="594360" cy="487680"/>
            <a:chOff x="6271260" y="1935480"/>
            <a:chExt cx="594360" cy="487680"/>
          </a:xfrm>
        </xdr:grpSpPr>
        <xdr:sp macro="" textlink="Analysis!D5">
          <xdr:nvSpPr>
            <xdr:cNvPr id="17" name="Rectangle: Rounded Corners 16">
              <a:extLst>
                <a:ext uri="{FF2B5EF4-FFF2-40B4-BE49-F238E27FC236}">
                  <a16:creationId xmlns:a16="http://schemas.microsoft.com/office/drawing/2014/main" id="{0BB32C99-0912-44C7-A0E9-12557FEE0D46}"/>
                </a:ext>
              </a:extLst>
            </xdr:cNvPr>
            <xdr:cNvSpPr/>
          </xdr:nvSpPr>
          <xdr:spPr>
            <a:xfrm>
              <a:off x="6271260" y="1935480"/>
              <a:ext cx="544830" cy="449580"/>
            </a:xfrm>
            <a:prstGeom prst="roundRect">
              <a:avLst>
                <a:gd name="adj" fmla="val 11617"/>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DD35B29-F1EA-4C25-ABF8-AA68A19904EB}" type="TxLink">
                <a:rPr lang="en-US" sz="1500" b="0" i="0" u="none" strike="noStrike">
                  <a:solidFill>
                    <a:schemeClr val="accent6">
                      <a:lumMod val="75000"/>
                    </a:schemeClr>
                  </a:solidFill>
                  <a:latin typeface="Arial" panose="020B0604020202020204" pitchFamily="34" charset="0"/>
                  <a:ea typeface="Calibri"/>
                  <a:cs typeface="Arial" panose="020B0604020202020204" pitchFamily="34" charset="0"/>
                </a:rPr>
                <a:pPr algn="ctr"/>
                <a:t>425</a:t>
              </a:fld>
              <a:endParaRPr lang="en-US" sz="1500" b="1">
                <a:solidFill>
                  <a:schemeClr val="accent6">
                    <a:lumMod val="75000"/>
                  </a:schemeClr>
                </a:solidFill>
                <a:latin typeface="Arial" panose="020B0604020202020204" pitchFamily="34" charset="0"/>
                <a:cs typeface="Arial" panose="020B0604020202020204" pitchFamily="34" charset="0"/>
              </a:endParaRPr>
            </a:p>
          </xdr:txBody>
        </xdr:sp>
        <xdr:sp macro="" textlink="">
          <xdr:nvSpPr>
            <xdr:cNvPr id="28" name="Rectangle: Rounded Corners 27">
              <a:extLst>
                <a:ext uri="{FF2B5EF4-FFF2-40B4-BE49-F238E27FC236}">
                  <a16:creationId xmlns:a16="http://schemas.microsoft.com/office/drawing/2014/main" id="{018A8C99-608B-48CE-8259-623902907A5E}"/>
                </a:ext>
              </a:extLst>
            </xdr:cNvPr>
            <xdr:cNvSpPr/>
          </xdr:nvSpPr>
          <xdr:spPr>
            <a:xfrm>
              <a:off x="6309360" y="2194560"/>
              <a:ext cx="556260" cy="228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0">
                  <a:solidFill>
                    <a:schemeClr val="accent6">
                      <a:lumMod val="75000"/>
                    </a:schemeClr>
                  </a:solidFill>
                  <a:latin typeface="Arial" panose="020B0604020202020204" pitchFamily="34" charset="0"/>
                  <a:cs typeface="Arial" panose="020B0604020202020204" pitchFamily="34" charset="0"/>
                </a:rPr>
                <a:t>Total</a:t>
              </a:r>
            </a:p>
          </xdr:txBody>
        </xdr:sp>
      </xdr:grpSp>
    </xdr:grpSp>
    <xdr:clientData/>
  </xdr:twoCellAnchor>
  <xdr:twoCellAnchor>
    <xdr:from>
      <xdr:col>7</xdr:col>
      <xdr:colOff>335280</xdr:colOff>
      <xdr:row>4</xdr:row>
      <xdr:rowOff>160020</xdr:rowOff>
    </xdr:from>
    <xdr:to>
      <xdr:col>9</xdr:col>
      <xdr:colOff>515112</xdr:colOff>
      <xdr:row>12</xdr:row>
      <xdr:rowOff>7620</xdr:rowOff>
    </xdr:to>
    <xdr:grpSp>
      <xdr:nvGrpSpPr>
        <xdr:cNvPr id="34" name="Group 33">
          <a:extLst>
            <a:ext uri="{FF2B5EF4-FFF2-40B4-BE49-F238E27FC236}">
              <a16:creationId xmlns:a16="http://schemas.microsoft.com/office/drawing/2014/main" id="{6813F09D-B6AC-ED49-DE43-AA9FCE4DBD48}"/>
            </a:ext>
          </a:extLst>
        </xdr:cNvPr>
        <xdr:cNvGrpSpPr/>
      </xdr:nvGrpSpPr>
      <xdr:grpSpPr>
        <a:xfrm>
          <a:off x="4602480" y="891540"/>
          <a:ext cx="1399032" cy="1310640"/>
          <a:chOff x="4381500" y="807720"/>
          <a:chExt cx="1399032" cy="1310640"/>
        </a:xfrm>
      </xdr:grpSpPr>
      <xdr:sp macro="" textlink="">
        <xdr:nvSpPr>
          <xdr:cNvPr id="3" name="Rectangle: Rounded Corners 2">
            <a:extLst>
              <a:ext uri="{FF2B5EF4-FFF2-40B4-BE49-F238E27FC236}">
                <a16:creationId xmlns:a16="http://schemas.microsoft.com/office/drawing/2014/main" id="{F9665B58-5E64-4A1A-80B1-3E8857A40412}"/>
              </a:ext>
            </a:extLst>
          </xdr:cNvPr>
          <xdr:cNvSpPr/>
        </xdr:nvSpPr>
        <xdr:spPr>
          <a:xfrm>
            <a:off x="4381500" y="807720"/>
            <a:ext cx="1399032" cy="1310640"/>
          </a:xfrm>
          <a:prstGeom prst="roundRect">
            <a:avLst>
              <a:gd name="adj" fmla="val 6207"/>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b="1">
              <a:solidFill>
                <a:schemeClr val="bg1">
                  <a:lumMod val="85000"/>
                </a:schemeClr>
              </a:solidFill>
              <a:latin typeface="Arial Black" panose="020B0A04020102020204" pitchFamily="34" charset="0"/>
            </a:endParaRPr>
          </a:p>
        </xdr:txBody>
      </xdr:sp>
      <xdr:sp macro="" textlink="">
        <xdr:nvSpPr>
          <xdr:cNvPr id="4" name="Rectangle: Rounded Corners 3">
            <a:extLst>
              <a:ext uri="{FF2B5EF4-FFF2-40B4-BE49-F238E27FC236}">
                <a16:creationId xmlns:a16="http://schemas.microsoft.com/office/drawing/2014/main" id="{F0C933A1-10BB-F849-B8A8-AE84EB79D203}"/>
              </a:ext>
            </a:extLst>
          </xdr:cNvPr>
          <xdr:cNvSpPr/>
        </xdr:nvSpPr>
        <xdr:spPr>
          <a:xfrm>
            <a:off x="4609607" y="859851"/>
            <a:ext cx="942819" cy="258239"/>
          </a:xfrm>
          <a:prstGeom prst="round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85000"/>
                    <a:lumOff val="15000"/>
                  </a:schemeClr>
                </a:solidFill>
                <a:latin typeface="Arial Black" panose="020B0A04020102020204" pitchFamily="34" charset="0"/>
              </a:rPr>
              <a:t>INQUIRE</a:t>
            </a:r>
          </a:p>
        </xdr:txBody>
      </xdr:sp>
      <xdr:grpSp>
        <xdr:nvGrpSpPr>
          <xdr:cNvPr id="33" name="Group 32">
            <a:extLst>
              <a:ext uri="{FF2B5EF4-FFF2-40B4-BE49-F238E27FC236}">
                <a16:creationId xmlns:a16="http://schemas.microsoft.com/office/drawing/2014/main" id="{6BA4EE91-CB06-CA72-E898-FD63C59BA61A}"/>
              </a:ext>
            </a:extLst>
          </xdr:cNvPr>
          <xdr:cNvGrpSpPr/>
        </xdr:nvGrpSpPr>
        <xdr:grpSpPr>
          <a:xfrm>
            <a:off x="4549254" y="1246264"/>
            <a:ext cx="1063524" cy="681596"/>
            <a:chOff x="4491456" y="1246264"/>
            <a:chExt cx="1063524" cy="681596"/>
          </a:xfrm>
        </xdr:grpSpPr>
        <xdr:sp macro="" textlink="Analysis!B5">
          <xdr:nvSpPr>
            <xdr:cNvPr id="5" name="Rectangle: Rounded Corners 4">
              <a:extLst>
                <a:ext uri="{FF2B5EF4-FFF2-40B4-BE49-F238E27FC236}">
                  <a16:creationId xmlns:a16="http://schemas.microsoft.com/office/drawing/2014/main" id="{6FB2C6BD-BC2A-48DE-ABBF-54DBDCC3DAAA}"/>
                </a:ext>
              </a:extLst>
            </xdr:cNvPr>
            <xdr:cNvSpPr/>
          </xdr:nvSpPr>
          <xdr:spPr>
            <a:xfrm>
              <a:off x="4491456" y="1246264"/>
              <a:ext cx="1063524" cy="681596"/>
            </a:xfrm>
            <a:prstGeom prst="roundRect">
              <a:avLst>
                <a:gd name="adj" fmla="val 11617"/>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76E86A1-75BE-4D94-ABD3-976560385D89}" type="TxLink">
                <a:rPr lang="en-US" sz="2200" b="0" i="0" u="none" strike="noStrike">
                  <a:solidFill>
                    <a:srgbClr val="000000"/>
                  </a:solidFill>
                  <a:latin typeface="Arial Black" panose="020B0A04020102020204" pitchFamily="34" charset="0"/>
                  <a:ea typeface="Calibri"/>
                  <a:cs typeface="Calibri"/>
                </a:rPr>
                <a:pPr algn="ctr"/>
                <a:t>1200</a:t>
              </a:fld>
              <a:endParaRPr lang="en-US" sz="2200" b="1">
                <a:solidFill>
                  <a:schemeClr val="tx1">
                    <a:lumMod val="85000"/>
                    <a:lumOff val="15000"/>
                  </a:schemeClr>
                </a:solidFill>
                <a:latin typeface="Arial Black" panose="020B0A04020102020204" pitchFamily="34" charset="0"/>
              </a:endParaRPr>
            </a:p>
          </xdr:txBody>
        </xdr:sp>
        <xdr:sp macro="" textlink="">
          <xdr:nvSpPr>
            <xdr:cNvPr id="32" name="Rectangle: Rounded Corners 31">
              <a:extLst>
                <a:ext uri="{FF2B5EF4-FFF2-40B4-BE49-F238E27FC236}">
                  <a16:creationId xmlns:a16="http://schemas.microsoft.com/office/drawing/2014/main" id="{2316EDF6-60C1-46E4-A257-D34704B92920}"/>
                </a:ext>
              </a:extLst>
            </xdr:cNvPr>
            <xdr:cNvSpPr/>
          </xdr:nvSpPr>
          <xdr:spPr>
            <a:xfrm>
              <a:off x="4770121" y="1645920"/>
              <a:ext cx="541020" cy="25823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chemeClr val="tx1">
                      <a:lumMod val="85000"/>
                      <a:lumOff val="15000"/>
                    </a:schemeClr>
                  </a:solidFill>
                  <a:latin typeface="Arial" panose="020B0604020202020204" pitchFamily="34" charset="0"/>
                  <a:cs typeface="Arial" panose="020B0604020202020204" pitchFamily="34" charset="0"/>
                </a:rPr>
                <a:t>Total</a:t>
              </a:r>
            </a:p>
          </xdr:txBody>
        </xdr:sp>
      </xdr:grpSp>
    </xdr:grpSp>
    <xdr:clientData/>
  </xdr:twoCellAnchor>
  <xdr:twoCellAnchor>
    <xdr:from>
      <xdr:col>2</xdr:col>
      <xdr:colOff>205740</xdr:colOff>
      <xdr:row>1</xdr:row>
      <xdr:rowOff>160020</xdr:rowOff>
    </xdr:from>
    <xdr:to>
      <xdr:col>4</xdr:col>
      <xdr:colOff>182880</xdr:colOff>
      <xdr:row>3</xdr:row>
      <xdr:rowOff>175260</xdr:rowOff>
    </xdr:to>
    <xdr:sp macro="" textlink="">
      <xdr:nvSpPr>
        <xdr:cNvPr id="35" name="Rectangle: Rounded Corners 34">
          <a:extLst>
            <a:ext uri="{FF2B5EF4-FFF2-40B4-BE49-F238E27FC236}">
              <a16:creationId xmlns:a16="http://schemas.microsoft.com/office/drawing/2014/main" id="{8CBD5C3A-ED3B-DAD0-B2E8-169069974E7F}"/>
            </a:ext>
          </a:extLst>
        </xdr:cNvPr>
        <xdr:cNvSpPr/>
      </xdr:nvSpPr>
      <xdr:spPr>
        <a:xfrm>
          <a:off x="1424940" y="342900"/>
          <a:ext cx="1196340" cy="381000"/>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Black" panose="020B0A04020102020204" pitchFamily="34" charset="0"/>
            </a:rPr>
            <a:t>FILTERS</a:t>
          </a:r>
        </a:p>
      </xdr:txBody>
    </xdr:sp>
    <xdr:clientData/>
  </xdr:twoCellAnchor>
  <xdr:twoCellAnchor editAs="oneCell">
    <xdr:from>
      <xdr:col>0</xdr:col>
      <xdr:colOff>251460</xdr:colOff>
      <xdr:row>4</xdr:row>
      <xdr:rowOff>83821</xdr:rowOff>
    </xdr:from>
    <xdr:to>
      <xdr:col>6</xdr:col>
      <xdr:colOff>487680</xdr:colOff>
      <xdr:row>6</xdr:row>
      <xdr:rowOff>121920</xdr:rowOff>
    </xdr:to>
    <mc:AlternateContent xmlns:mc="http://schemas.openxmlformats.org/markup-compatibility/2006">
      <mc:Choice xmlns:a14="http://schemas.microsoft.com/office/drawing/2010/main" Requires="a14">
        <xdr:graphicFrame macro="">
          <xdr:nvGraphicFramePr>
            <xdr:cNvPr id="36" name="Year">
              <a:extLst>
                <a:ext uri="{FF2B5EF4-FFF2-40B4-BE49-F238E27FC236}">
                  <a16:creationId xmlns:a16="http://schemas.microsoft.com/office/drawing/2014/main" id="{1E3EB700-56CA-4859-9E3C-44E53D4F355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51460" y="815341"/>
              <a:ext cx="3893820" cy="403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243840</xdr:colOff>
      <xdr:row>7</xdr:row>
      <xdr:rowOff>15240</xdr:rowOff>
    </xdr:from>
    <xdr:to>
      <xdr:col>6</xdr:col>
      <xdr:colOff>502920</xdr:colOff>
      <xdr:row>10</xdr:row>
      <xdr:rowOff>137160</xdr:rowOff>
    </xdr:to>
    <mc:AlternateContent xmlns:mc="http://schemas.openxmlformats.org/markup-compatibility/2006" xmlns:a14="http://schemas.microsoft.com/office/drawing/2010/main">
      <mc:Choice Requires="a14">
        <xdr:graphicFrame macro="">
          <xdr:nvGraphicFramePr>
            <xdr:cNvPr id="37" name="Month_name">
              <a:extLst>
                <a:ext uri="{FF2B5EF4-FFF2-40B4-BE49-F238E27FC236}">
                  <a16:creationId xmlns:a16="http://schemas.microsoft.com/office/drawing/2014/main" id="{B002C2AF-5631-4738-94F7-EDA5254AA1E2}"/>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243840" y="1295400"/>
              <a:ext cx="3916680" cy="670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236220</xdr:colOff>
      <xdr:row>11</xdr:row>
      <xdr:rowOff>15241</xdr:rowOff>
    </xdr:from>
    <xdr:to>
      <xdr:col>6</xdr:col>
      <xdr:colOff>502920</xdr:colOff>
      <xdr:row>13</xdr:row>
      <xdr:rowOff>76200</xdr:rowOff>
    </xdr:to>
    <mc:AlternateContent xmlns:mc="http://schemas.openxmlformats.org/markup-compatibility/2006" xmlns:a14="http://schemas.microsoft.com/office/drawing/2010/main">
      <mc:Choice Requires="a14">
        <xdr:graphicFrame macro="">
          <xdr:nvGraphicFramePr>
            <xdr:cNvPr id="38" name="Day_name">
              <a:extLst>
                <a:ext uri="{FF2B5EF4-FFF2-40B4-BE49-F238E27FC236}">
                  <a16:creationId xmlns:a16="http://schemas.microsoft.com/office/drawing/2014/main" id="{6ABA47E4-F079-4792-9607-44112010842F}"/>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236220" y="2026921"/>
              <a:ext cx="3924300" cy="426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228600</xdr:colOff>
      <xdr:row>4</xdr:row>
      <xdr:rowOff>45720</xdr:rowOff>
    </xdr:from>
    <xdr:to>
      <xdr:col>21</xdr:col>
      <xdr:colOff>175203</xdr:colOff>
      <xdr:row>12</xdr:row>
      <xdr:rowOff>99060</xdr:rowOff>
    </xdr:to>
    <xdr:grpSp>
      <xdr:nvGrpSpPr>
        <xdr:cNvPr id="59" name="Group 58">
          <a:extLst>
            <a:ext uri="{FF2B5EF4-FFF2-40B4-BE49-F238E27FC236}">
              <a16:creationId xmlns:a16="http://schemas.microsoft.com/office/drawing/2014/main" id="{D2A79CC8-66F8-FB4C-2D26-29EF9321FB80}"/>
            </a:ext>
          </a:extLst>
        </xdr:cNvPr>
        <xdr:cNvGrpSpPr/>
      </xdr:nvGrpSpPr>
      <xdr:grpSpPr>
        <a:xfrm>
          <a:off x="9372600" y="777240"/>
          <a:ext cx="3604203" cy="1516380"/>
          <a:chOff x="9441180" y="220980"/>
          <a:chExt cx="3604203" cy="1516380"/>
        </a:xfrm>
      </xdr:grpSpPr>
      <xdr:sp macro="" textlink="">
        <xdr:nvSpPr>
          <xdr:cNvPr id="7" name="Rectangle: Rounded Corners 6">
            <a:extLst>
              <a:ext uri="{FF2B5EF4-FFF2-40B4-BE49-F238E27FC236}">
                <a16:creationId xmlns:a16="http://schemas.microsoft.com/office/drawing/2014/main" id="{9ECBCC97-9250-63C5-6C61-ABD7AB504DE4}"/>
              </a:ext>
            </a:extLst>
          </xdr:cNvPr>
          <xdr:cNvSpPr/>
        </xdr:nvSpPr>
        <xdr:spPr>
          <a:xfrm>
            <a:off x="9441180" y="220980"/>
            <a:ext cx="3589020" cy="1516380"/>
          </a:xfrm>
          <a:prstGeom prst="roundRect">
            <a:avLst>
              <a:gd name="adj" fmla="val 6207"/>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b="1">
              <a:solidFill>
                <a:schemeClr val="bg1">
                  <a:lumMod val="85000"/>
                </a:schemeClr>
              </a:solidFill>
              <a:latin typeface="Arial Black" panose="020B0A04020102020204" pitchFamily="34" charset="0"/>
            </a:endParaRPr>
          </a:p>
        </xdr:txBody>
      </xdr:sp>
      <xdr:sp macro="" textlink="">
        <xdr:nvSpPr>
          <xdr:cNvPr id="25" name="Rectangle: Rounded Corners 24">
            <a:extLst>
              <a:ext uri="{FF2B5EF4-FFF2-40B4-BE49-F238E27FC236}">
                <a16:creationId xmlns:a16="http://schemas.microsoft.com/office/drawing/2014/main" id="{DC7A6A78-C9F4-4A77-87CD-9B4D975D48CF}"/>
              </a:ext>
            </a:extLst>
          </xdr:cNvPr>
          <xdr:cNvSpPr/>
        </xdr:nvSpPr>
        <xdr:spPr>
          <a:xfrm>
            <a:off x="10382004" y="297180"/>
            <a:ext cx="1775953" cy="258239"/>
          </a:xfrm>
          <a:prstGeom prst="round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baseline="0">
                <a:solidFill>
                  <a:schemeClr val="tx1">
                    <a:lumMod val="85000"/>
                    <a:lumOff val="15000"/>
                  </a:schemeClr>
                </a:solidFill>
                <a:latin typeface="Arial Black" panose="020B0A04020102020204" pitchFamily="34" charset="0"/>
                <a:cs typeface="Arial" panose="020B0604020202020204" pitchFamily="34" charset="0"/>
              </a:rPr>
              <a:t>enrolled per Follow up</a:t>
            </a:r>
            <a:endParaRPr lang="en-US" sz="1000" b="1">
              <a:solidFill>
                <a:schemeClr val="tx1">
                  <a:lumMod val="85000"/>
                  <a:lumOff val="15000"/>
                </a:schemeClr>
              </a:solidFill>
              <a:latin typeface="Arial Black" panose="020B0A04020102020204" pitchFamily="34" charset="0"/>
              <a:cs typeface="Arial" panose="020B0604020202020204" pitchFamily="34" charset="0"/>
            </a:endParaRPr>
          </a:p>
        </xdr:txBody>
      </xdr:sp>
      <xdr:grpSp>
        <xdr:nvGrpSpPr>
          <xdr:cNvPr id="58" name="Group 57">
            <a:extLst>
              <a:ext uri="{FF2B5EF4-FFF2-40B4-BE49-F238E27FC236}">
                <a16:creationId xmlns:a16="http://schemas.microsoft.com/office/drawing/2014/main" id="{6E8D5917-12F7-87A3-6C5B-53689BD0D433}"/>
              </a:ext>
            </a:extLst>
          </xdr:cNvPr>
          <xdr:cNvGrpSpPr/>
        </xdr:nvGrpSpPr>
        <xdr:grpSpPr>
          <a:xfrm>
            <a:off x="9494577" y="658673"/>
            <a:ext cx="3550806" cy="953220"/>
            <a:chOff x="9517494" y="506273"/>
            <a:chExt cx="3550806" cy="953220"/>
          </a:xfrm>
        </xdr:grpSpPr>
        <xdr:grpSp>
          <xdr:nvGrpSpPr>
            <xdr:cNvPr id="43" name="Group 42">
              <a:extLst>
                <a:ext uri="{FF2B5EF4-FFF2-40B4-BE49-F238E27FC236}">
                  <a16:creationId xmlns:a16="http://schemas.microsoft.com/office/drawing/2014/main" id="{D8FDB99A-CE90-2321-8344-C24562BE3AB9}"/>
                </a:ext>
              </a:extLst>
            </xdr:cNvPr>
            <xdr:cNvGrpSpPr/>
          </xdr:nvGrpSpPr>
          <xdr:grpSpPr>
            <a:xfrm>
              <a:off x="9517494" y="506273"/>
              <a:ext cx="1089545" cy="953220"/>
              <a:chOff x="9578454" y="437693"/>
              <a:chExt cx="1089545" cy="953220"/>
            </a:xfrm>
          </xdr:grpSpPr>
          <xdr:sp macro="" textlink="Analysis!H6">
            <xdr:nvSpPr>
              <xdr:cNvPr id="21" name="Rectangle: Rounded Corners 20">
                <a:extLst>
                  <a:ext uri="{FF2B5EF4-FFF2-40B4-BE49-F238E27FC236}">
                    <a16:creationId xmlns:a16="http://schemas.microsoft.com/office/drawing/2014/main" id="{9130836D-29BB-4AB8-55BF-10BEF687311E}"/>
                  </a:ext>
                </a:extLst>
              </xdr:cNvPr>
              <xdr:cNvSpPr/>
            </xdr:nvSpPr>
            <xdr:spPr>
              <a:xfrm>
                <a:off x="9578454" y="437693"/>
                <a:ext cx="1063524" cy="953220"/>
              </a:xfrm>
              <a:prstGeom prst="roundRect">
                <a:avLst>
                  <a:gd name="adj" fmla="val 11617"/>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B5522E7-3F66-4F81-99F4-FD56F4FEBA22}" type="TxLink">
                  <a:rPr lang="en-US" sz="2200" b="0" i="0" u="none" strike="noStrike">
                    <a:solidFill>
                      <a:srgbClr val="000000"/>
                    </a:solidFill>
                    <a:latin typeface="Arial Black" panose="020B0A04020102020204" pitchFamily="34" charset="0"/>
                    <a:ea typeface="Calibri"/>
                    <a:cs typeface="Calibri"/>
                  </a:rPr>
                  <a:pPr algn="ctr"/>
                  <a:t>30%</a:t>
                </a:fld>
                <a:endParaRPr lang="en-US" sz="2200" b="1">
                  <a:solidFill>
                    <a:schemeClr val="tx1">
                      <a:lumMod val="85000"/>
                      <a:lumOff val="15000"/>
                    </a:schemeClr>
                  </a:solidFill>
                  <a:latin typeface="Arial Black" panose="020B0A04020102020204" pitchFamily="34" charset="0"/>
                </a:endParaRPr>
              </a:p>
            </xdr:txBody>
          </xdr:sp>
          <xdr:sp macro="" textlink="">
            <xdr:nvSpPr>
              <xdr:cNvPr id="24" name="Rectangle: Rounded Corners 23">
                <a:extLst>
                  <a:ext uri="{FF2B5EF4-FFF2-40B4-BE49-F238E27FC236}">
                    <a16:creationId xmlns:a16="http://schemas.microsoft.com/office/drawing/2014/main" id="{480E282A-7CCF-0705-A3E4-973CB210D798}"/>
                  </a:ext>
                </a:extLst>
              </xdr:cNvPr>
              <xdr:cNvSpPr/>
            </xdr:nvSpPr>
            <xdr:spPr>
              <a:xfrm>
                <a:off x="9613278" y="446921"/>
                <a:ext cx="1054721" cy="28226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chemeClr val="tx1">
                        <a:lumMod val="85000"/>
                        <a:lumOff val="15000"/>
                      </a:schemeClr>
                    </a:solidFill>
                    <a:latin typeface="Arial" panose="020B0604020202020204" pitchFamily="34" charset="0"/>
                    <a:cs typeface="Arial" panose="020B0604020202020204" pitchFamily="34" charset="0"/>
                  </a:rPr>
                  <a:t>First</a:t>
                </a:r>
                <a:r>
                  <a:rPr lang="en-US" sz="900" b="1" baseline="0">
                    <a:solidFill>
                      <a:schemeClr val="tx1">
                        <a:lumMod val="85000"/>
                        <a:lumOff val="15000"/>
                      </a:schemeClr>
                    </a:solidFill>
                    <a:latin typeface="Arial" panose="020B0604020202020204" pitchFamily="34" charset="0"/>
                    <a:cs typeface="Arial" panose="020B0604020202020204" pitchFamily="34" charset="0"/>
                  </a:rPr>
                  <a:t> Follow up</a:t>
                </a:r>
                <a:endParaRPr lang="en-US" sz="900" b="1">
                  <a:solidFill>
                    <a:schemeClr val="tx1">
                      <a:lumMod val="85000"/>
                      <a:lumOff val="15000"/>
                    </a:schemeClr>
                  </a:solidFill>
                  <a:latin typeface="Arial" panose="020B0604020202020204" pitchFamily="34" charset="0"/>
                  <a:cs typeface="Arial" panose="020B0604020202020204" pitchFamily="34" charset="0"/>
                </a:endParaRPr>
              </a:p>
            </xdr:txBody>
          </xdr:sp>
          <xdr:grpSp>
            <xdr:nvGrpSpPr>
              <xdr:cNvPr id="41" name="Group 40">
                <a:extLst>
                  <a:ext uri="{FF2B5EF4-FFF2-40B4-BE49-F238E27FC236}">
                    <a16:creationId xmlns:a16="http://schemas.microsoft.com/office/drawing/2014/main" id="{2F3621A7-60B6-090F-A387-4584ED5AA9CD}"/>
                  </a:ext>
                </a:extLst>
              </xdr:cNvPr>
              <xdr:cNvGrpSpPr/>
            </xdr:nvGrpSpPr>
            <xdr:grpSpPr>
              <a:xfrm>
                <a:off x="9692641" y="1057052"/>
                <a:ext cx="906779" cy="315970"/>
                <a:chOff x="9540241" y="782732"/>
                <a:chExt cx="906779" cy="315970"/>
              </a:xfrm>
            </xdr:grpSpPr>
            <xdr:sp macro="" textlink="Analysis!H5">
              <xdr:nvSpPr>
                <xdr:cNvPr id="11" name="Rectangle: Rounded Corners 10">
                  <a:extLst>
                    <a:ext uri="{FF2B5EF4-FFF2-40B4-BE49-F238E27FC236}">
                      <a16:creationId xmlns:a16="http://schemas.microsoft.com/office/drawing/2014/main" id="{4CEF5D4D-EFA0-5E6A-4366-7F039F91D107}"/>
                    </a:ext>
                  </a:extLst>
                </xdr:cNvPr>
                <xdr:cNvSpPr/>
              </xdr:nvSpPr>
              <xdr:spPr>
                <a:xfrm>
                  <a:off x="10019807" y="782732"/>
                  <a:ext cx="427213" cy="28226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773C0D7-3EDD-4B8B-BFE2-2E8EA7759F16}" type="TxLink">
                    <a:rPr lang="en-US" sz="1400" b="1" i="0" u="none" strike="noStrike" baseline="0">
                      <a:solidFill>
                        <a:srgbClr val="000000"/>
                      </a:solidFill>
                      <a:latin typeface="Calibri"/>
                      <a:ea typeface="Calibri"/>
                      <a:cs typeface="Calibri"/>
                    </a:rPr>
                    <a:pPr algn="l"/>
                    <a:t>126</a:t>
                  </a:fld>
                  <a:endParaRPr lang="en-US" sz="1400" b="1">
                    <a:solidFill>
                      <a:schemeClr val="tx1">
                        <a:lumMod val="85000"/>
                        <a:lumOff val="15000"/>
                      </a:schemeClr>
                    </a:solidFill>
                    <a:latin typeface="Arial" panose="020B0604020202020204" pitchFamily="34" charset="0"/>
                    <a:cs typeface="Arial" panose="020B0604020202020204" pitchFamily="34" charset="0"/>
                  </a:endParaRPr>
                </a:p>
              </xdr:txBody>
            </xdr:sp>
            <xdr:sp macro="" textlink="">
              <xdr:nvSpPr>
                <xdr:cNvPr id="26" name="Rectangle: Rounded Corners 25">
                  <a:extLst>
                    <a:ext uri="{FF2B5EF4-FFF2-40B4-BE49-F238E27FC236}">
                      <a16:creationId xmlns:a16="http://schemas.microsoft.com/office/drawing/2014/main" id="{7477EFFF-AA0D-4219-A037-6D93DAE00F60}"/>
                    </a:ext>
                  </a:extLst>
                </xdr:cNvPr>
                <xdr:cNvSpPr/>
              </xdr:nvSpPr>
              <xdr:spPr>
                <a:xfrm>
                  <a:off x="9540241" y="840463"/>
                  <a:ext cx="701039" cy="25823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0">
                      <a:solidFill>
                        <a:schemeClr val="tx1">
                          <a:lumMod val="85000"/>
                          <a:lumOff val="15000"/>
                        </a:schemeClr>
                      </a:solidFill>
                      <a:latin typeface="Arial" panose="020B0604020202020204" pitchFamily="34" charset="0"/>
                      <a:cs typeface="Arial" panose="020B0604020202020204" pitchFamily="34" charset="0"/>
                    </a:rPr>
                    <a:t>Enrolled-</a:t>
                  </a:r>
                </a:p>
              </xdr:txBody>
            </xdr:sp>
          </xdr:grpSp>
          <xdr:sp macro="" textlink="">
            <xdr:nvSpPr>
              <xdr:cNvPr id="42" name="Rectangle 41">
                <a:extLst>
                  <a:ext uri="{FF2B5EF4-FFF2-40B4-BE49-F238E27FC236}">
                    <a16:creationId xmlns:a16="http://schemas.microsoft.com/office/drawing/2014/main" id="{1A91F6D3-DAB5-F03C-A24F-D0AF921E0003}"/>
                  </a:ext>
                </a:extLst>
              </xdr:cNvPr>
              <xdr:cNvSpPr/>
            </xdr:nvSpPr>
            <xdr:spPr>
              <a:xfrm>
                <a:off x="9700260" y="1082040"/>
                <a:ext cx="800100" cy="45719"/>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44" name="Group 43">
              <a:extLst>
                <a:ext uri="{FF2B5EF4-FFF2-40B4-BE49-F238E27FC236}">
                  <a16:creationId xmlns:a16="http://schemas.microsoft.com/office/drawing/2014/main" id="{80A1B591-DCF5-4D0F-A128-CE05B99BD767}"/>
                </a:ext>
              </a:extLst>
            </xdr:cNvPr>
            <xdr:cNvGrpSpPr/>
          </xdr:nvGrpSpPr>
          <xdr:grpSpPr>
            <a:xfrm>
              <a:off x="10626737" y="506273"/>
              <a:ext cx="1214742" cy="953220"/>
              <a:chOff x="9537078" y="431681"/>
              <a:chExt cx="1214742" cy="953220"/>
            </a:xfrm>
          </xdr:grpSpPr>
          <xdr:sp macro="" textlink="Analysis!I6">
            <xdr:nvSpPr>
              <xdr:cNvPr id="45" name="Rectangle: Rounded Corners 44">
                <a:extLst>
                  <a:ext uri="{FF2B5EF4-FFF2-40B4-BE49-F238E27FC236}">
                    <a16:creationId xmlns:a16="http://schemas.microsoft.com/office/drawing/2014/main" id="{E0836E5A-6263-445D-D2E6-88E35D85B133}"/>
                  </a:ext>
                </a:extLst>
              </xdr:cNvPr>
              <xdr:cNvSpPr/>
            </xdr:nvSpPr>
            <xdr:spPr>
              <a:xfrm>
                <a:off x="9624175" y="431681"/>
                <a:ext cx="1063524" cy="953220"/>
              </a:xfrm>
              <a:prstGeom prst="roundRect">
                <a:avLst>
                  <a:gd name="adj" fmla="val 11617"/>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3CDB4C-9377-4648-87A3-D2ECA3F0736F}" type="TxLink">
                  <a:rPr lang="en-US" sz="2200" b="1" i="0" u="none" strike="noStrike">
                    <a:solidFill>
                      <a:srgbClr val="000000"/>
                    </a:solidFill>
                    <a:latin typeface="Arial Black" panose="020B0A04020102020204" pitchFamily="34" charset="0"/>
                    <a:ea typeface="Calibri"/>
                    <a:cs typeface="Calibri"/>
                  </a:rPr>
                  <a:pPr algn="ctr"/>
                  <a:t>50%</a:t>
                </a:fld>
                <a:endParaRPr lang="en-US" sz="2200" b="1">
                  <a:solidFill>
                    <a:schemeClr val="tx1">
                      <a:lumMod val="85000"/>
                      <a:lumOff val="15000"/>
                    </a:schemeClr>
                  </a:solidFill>
                  <a:latin typeface="Arial Black" panose="020B0A04020102020204" pitchFamily="34" charset="0"/>
                </a:endParaRPr>
              </a:p>
            </xdr:txBody>
          </xdr:sp>
          <xdr:sp macro="" textlink="">
            <xdr:nvSpPr>
              <xdr:cNvPr id="46" name="Rectangle: Rounded Corners 45">
                <a:extLst>
                  <a:ext uri="{FF2B5EF4-FFF2-40B4-BE49-F238E27FC236}">
                    <a16:creationId xmlns:a16="http://schemas.microsoft.com/office/drawing/2014/main" id="{4DAD9198-7419-BA8B-FCF8-DB2D7418A4D9}"/>
                  </a:ext>
                </a:extLst>
              </xdr:cNvPr>
              <xdr:cNvSpPr/>
            </xdr:nvSpPr>
            <xdr:spPr>
              <a:xfrm>
                <a:off x="9537078" y="431681"/>
                <a:ext cx="1214742" cy="28226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baseline="0">
                    <a:solidFill>
                      <a:schemeClr val="tx1">
                        <a:lumMod val="85000"/>
                        <a:lumOff val="15000"/>
                      </a:schemeClr>
                    </a:solidFill>
                    <a:latin typeface="Arial" panose="020B0604020202020204" pitchFamily="34" charset="0"/>
                    <a:cs typeface="Arial" panose="020B0604020202020204" pitchFamily="34" charset="0"/>
                  </a:rPr>
                  <a:t>Second Follow up</a:t>
                </a:r>
                <a:endParaRPr lang="en-US" sz="900" b="1">
                  <a:solidFill>
                    <a:schemeClr val="tx1">
                      <a:lumMod val="85000"/>
                      <a:lumOff val="15000"/>
                    </a:schemeClr>
                  </a:solidFill>
                  <a:latin typeface="Arial" panose="020B0604020202020204" pitchFamily="34" charset="0"/>
                  <a:cs typeface="Arial" panose="020B0604020202020204" pitchFamily="34" charset="0"/>
                </a:endParaRPr>
              </a:p>
            </xdr:txBody>
          </xdr:sp>
          <xdr:grpSp>
            <xdr:nvGrpSpPr>
              <xdr:cNvPr id="47" name="Group 46">
                <a:extLst>
                  <a:ext uri="{FF2B5EF4-FFF2-40B4-BE49-F238E27FC236}">
                    <a16:creationId xmlns:a16="http://schemas.microsoft.com/office/drawing/2014/main" id="{D26BC118-EB3C-B733-0B13-6BB59D672167}"/>
                  </a:ext>
                </a:extLst>
              </xdr:cNvPr>
              <xdr:cNvGrpSpPr/>
            </xdr:nvGrpSpPr>
            <xdr:grpSpPr>
              <a:xfrm>
                <a:off x="9692641" y="1049432"/>
                <a:ext cx="975359" cy="323590"/>
                <a:chOff x="9540241" y="775112"/>
                <a:chExt cx="975359" cy="323590"/>
              </a:xfrm>
            </xdr:grpSpPr>
            <xdr:sp macro="" textlink="Analysis!I5">
              <xdr:nvSpPr>
                <xdr:cNvPr id="49" name="Rectangle: Rounded Corners 48">
                  <a:extLst>
                    <a:ext uri="{FF2B5EF4-FFF2-40B4-BE49-F238E27FC236}">
                      <a16:creationId xmlns:a16="http://schemas.microsoft.com/office/drawing/2014/main" id="{D708DA58-4D29-A72D-70E6-7CB1BBFB331E}"/>
                    </a:ext>
                  </a:extLst>
                </xdr:cNvPr>
                <xdr:cNvSpPr/>
              </xdr:nvSpPr>
              <xdr:spPr>
                <a:xfrm>
                  <a:off x="10012187" y="775112"/>
                  <a:ext cx="503413" cy="28226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448FE26-339B-4567-9399-5F4200F1AB66}" type="TxLink">
                    <a:rPr lang="en-US" sz="1400" b="0" i="0" u="none" strike="noStrike" baseline="0">
                      <a:solidFill>
                        <a:srgbClr val="000000"/>
                      </a:solidFill>
                      <a:latin typeface="Arial Black" panose="020B0A04020102020204" pitchFamily="34" charset="0"/>
                      <a:ea typeface="Calibri"/>
                      <a:cs typeface="Calibri"/>
                    </a:rPr>
                    <a:pPr algn="l"/>
                    <a:t>212</a:t>
                  </a:fld>
                  <a:endParaRPr lang="en-US" sz="1400" b="1">
                    <a:solidFill>
                      <a:schemeClr val="tx1">
                        <a:lumMod val="85000"/>
                        <a:lumOff val="15000"/>
                      </a:schemeClr>
                    </a:solidFill>
                    <a:latin typeface="Arial Black" panose="020B0A04020102020204" pitchFamily="34" charset="0"/>
                    <a:cs typeface="Arial" panose="020B0604020202020204" pitchFamily="34" charset="0"/>
                  </a:endParaRPr>
                </a:p>
              </xdr:txBody>
            </xdr:sp>
            <xdr:sp macro="" textlink="">
              <xdr:nvSpPr>
                <xdr:cNvPr id="50" name="Rectangle: Rounded Corners 49">
                  <a:extLst>
                    <a:ext uri="{FF2B5EF4-FFF2-40B4-BE49-F238E27FC236}">
                      <a16:creationId xmlns:a16="http://schemas.microsoft.com/office/drawing/2014/main" id="{4A295CE1-C18F-D984-F101-82703693C7DB}"/>
                    </a:ext>
                  </a:extLst>
                </xdr:cNvPr>
                <xdr:cNvSpPr/>
              </xdr:nvSpPr>
              <xdr:spPr>
                <a:xfrm>
                  <a:off x="9540241" y="840463"/>
                  <a:ext cx="701039" cy="25823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0">
                      <a:solidFill>
                        <a:schemeClr val="tx1">
                          <a:lumMod val="85000"/>
                          <a:lumOff val="15000"/>
                        </a:schemeClr>
                      </a:solidFill>
                      <a:latin typeface="Arial" panose="020B0604020202020204" pitchFamily="34" charset="0"/>
                      <a:cs typeface="Arial" panose="020B0604020202020204" pitchFamily="34" charset="0"/>
                    </a:rPr>
                    <a:t>Enrolled-</a:t>
                  </a:r>
                </a:p>
              </xdr:txBody>
            </xdr:sp>
          </xdr:grpSp>
          <xdr:sp macro="" textlink="">
            <xdr:nvSpPr>
              <xdr:cNvPr id="48" name="Rectangle 47">
                <a:extLst>
                  <a:ext uri="{FF2B5EF4-FFF2-40B4-BE49-F238E27FC236}">
                    <a16:creationId xmlns:a16="http://schemas.microsoft.com/office/drawing/2014/main" id="{6D070A07-06A5-D987-277D-97A0D5DB3F14}"/>
                  </a:ext>
                </a:extLst>
              </xdr:cNvPr>
              <xdr:cNvSpPr/>
            </xdr:nvSpPr>
            <xdr:spPr>
              <a:xfrm>
                <a:off x="9700260" y="1082040"/>
                <a:ext cx="800100" cy="45719"/>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51" name="Group 50">
              <a:extLst>
                <a:ext uri="{FF2B5EF4-FFF2-40B4-BE49-F238E27FC236}">
                  <a16:creationId xmlns:a16="http://schemas.microsoft.com/office/drawing/2014/main" id="{99D5DCF7-EEA9-4924-937A-12811E248ACF}"/>
                </a:ext>
              </a:extLst>
            </xdr:cNvPr>
            <xdr:cNvGrpSpPr/>
          </xdr:nvGrpSpPr>
          <xdr:grpSpPr>
            <a:xfrm>
              <a:off x="11861178" y="506273"/>
              <a:ext cx="1207122" cy="953220"/>
              <a:chOff x="9529458" y="437693"/>
              <a:chExt cx="1207122" cy="953220"/>
            </a:xfrm>
          </xdr:grpSpPr>
          <xdr:sp macro="" textlink="Analysis!J6">
            <xdr:nvSpPr>
              <xdr:cNvPr id="52" name="Rectangle: Rounded Corners 51">
                <a:extLst>
                  <a:ext uri="{FF2B5EF4-FFF2-40B4-BE49-F238E27FC236}">
                    <a16:creationId xmlns:a16="http://schemas.microsoft.com/office/drawing/2014/main" id="{078442B8-FABF-5EC1-CCD0-4010B112AF41}"/>
                  </a:ext>
                </a:extLst>
              </xdr:cNvPr>
              <xdr:cNvSpPr/>
            </xdr:nvSpPr>
            <xdr:spPr>
              <a:xfrm>
                <a:off x="9578454" y="437693"/>
                <a:ext cx="1063524" cy="953220"/>
              </a:xfrm>
              <a:prstGeom prst="roundRect">
                <a:avLst>
                  <a:gd name="adj" fmla="val 11617"/>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BD9970-56AE-4ED6-AD86-138F5CE345DD}" type="TxLink">
                  <a:rPr lang="en-US" sz="2200" b="0" i="0" u="none" strike="noStrike">
                    <a:solidFill>
                      <a:srgbClr val="000000"/>
                    </a:solidFill>
                    <a:latin typeface="Arial Black" panose="020B0A04020102020204" pitchFamily="34" charset="0"/>
                    <a:ea typeface="Calibri"/>
                    <a:cs typeface="Calibri"/>
                  </a:rPr>
                  <a:pPr algn="ctr"/>
                  <a:t>20%</a:t>
                </a:fld>
                <a:endParaRPr lang="en-US" sz="2200" b="1">
                  <a:solidFill>
                    <a:schemeClr val="tx1">
                      <a:lumMod val="85000"/>
                      <a:lumOff val="15000"/>
                    </a:schemeClr>
                  </a:solidFill>
                  <a:latin typeface="Arial Black" panose="020B0A04020102020204" pitchFamily="34" charset="0"/>
                </a:endParaRPr>
              </a:p>
            </xdr:txBody>
          </xdr:sp>
          <xdr:sp macro="" textlink="">
            <xdr:nvSpPr>
              <xdr:cNvPr id="53" name="Rectangle: Rounded Corners 52">
                <a:extLst>
                  <a:ext uri="{FF2B5EF4-FFF2-40B4-BE49-F238E27FC236}">
                    <a16:creationId xmlns:a16="http://schemas.microsoft.com/office/drawing/2014/main" id="{D4373A8A-632C-4512-3F18-121650477916}"/>
                  </a:ext>
                </a:extLst>
              </xdr:cNvPr>
              <xdr:cNvSpPr/>
            </xdr:nvSpPr>
            <xdr:spPr>
              <a:xfrm>
                <a:off x="9529458" y="454541"/>
                <a:ext cx="1207122" cy="28226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baseline="0">
                    <a:solidFill>
                      <a:schemeClr val="tx1">
                        <a:lumMod val="85000"/>
                        <a:lumOff val="15000"/>
                      </a:schemeClr>
                    </a:solidFill>
                    <a:latin typeface="Arial" panose="020B0604020202020204" pitchFamily="34" charset="0"/>
                    <a:cs typeface="Arial" panose="020B0604020202020204" pitchFamily="34" charset="0"/>
                  </a:rPr>
                  <a:t>Without Follow up</a:t>
                </a:r>
                <a:endParaRPr lang="en-US" sz="900" b="1">
                  <a:solidFill>
                    <a:schemeClr val="tx1">
                      <a:lumMod val="85000"/>
                      <a:lumOff val="15000"/>
                    </a:schemeClr>
                  </a:solidFill>
                  <a:latin typeface="Arial" panose="020B0604020202020204" pitchFamily="34" charset="0"/>
                  <a:cs typeface="Arial" panose="020B0604020202020204" pitchFamily="34" charset="0"/>
                </a:endParaRPr>
              </a:p>
            </xdr:txBody>
          </xdr:sp>
          <xdr:grpSp>
            <xdr:nvGrpSpPr>
              <xdr:cNvPr id="54" name="Group 53">
                <a:extLst>
                  <a:ext uri="{FF2B5EF4-FFF2-40B4-BE49-F238E27FC236}">
                    <a16:creationId xmlns:a16="http://schemas.microsoft.com/office/drawing/2014/main" id="{5C132EC9-63E4-27DB-E3DA-BDD75F7F5CDE}"/>
                  </a:ext>
                </a:extLst>
              </xdr:cNvPr>
              <xdr:cNvGrpSpPr/>
            </xdr:nvGrpSpPr>
            <xdr:grpSpPr>
              <a:xfrm>
                <a:off x="9692641" y="1034192"/>
                <a:ext cx="1005839" cy="338830"/>
                <a:chOff x="9540241" y="759872"/>
                <a:chExt cx="1005839" cy="338830"/>
              </a:xfrm>
            </xdr:grpSpPr>
            <xdr:sp macro="" textlink="Analysis!J5">
              <xdr:nvSpPr>
                <xdr:cNvPr id="56" name="Rectangle: Rounded Corners 55">
                  <a:extLst>
                    <a:ext uri="{FF2B5EF4-FFF2-40B4-BE49-F238E27FC236}">
                      <a16:creationId xmlns:a16="http://schemas.microsoft.com/office/drawing/2014/main" id="{5DF5F069-81ED-14DD-450E-2D4EB93ED3B9}"/>
                    </a:ext>
                  </a:extLst>
                </xdr:cNvPr>
                <xdr:cNvSpPr/>
              </xdr:nvSpPr>
              <xdr:spPr>
                <a:xfrm>
                  <a:off x="10027427" y="759872"/>
                  <a:ext cx="518653" cy="28226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F04642B-37F3-4308-945B-CDBA4053CB5F}" type="TxLink">
                    <a:rPr lang="en-US" sz="1400" b="0" i="0" u="none" strike="noStrike" baseline="0">
                      <a:solidFill>
                        <a:srgbClr val="000000"/>
                      </a:solidFill>
                      <a:latin typeface="Arial Black" panose="020B0A04020102020204" pitchFamily="34" charset="0"/>
                      <a:ea typeface="Calibri"/>
                      <a:cs typeface="Calibri"/>
                    </a:rPr>
                    <a:pPr algn="l"/>
                    <a:t>87</a:t>
                  </a:fld>
                  <a:endParaRPr lang="en-US" sz="1400" b="1">
                    <a:solidFill>
                      <a:schemeClr val="tx1">
                        <a:lumMod val="85000"/>
                        <a:lumOff val="15000"/>
                      </a:schemeClr>
                    </a:solidFill>
                    <a:latin typeface="Arial Black" panose="020B0A04020102020204" pitchFamily="34" charset="0"/>
                    <a:cs typeface="Arial" panose="020B0604020202020204" pitchFamily="34" charset="0"/>
                  </a:endParaRPr>
                </a:p>
              </xdr:txBody>
            </xdr:sp>
            <xdr:sp macro="" textlink="">
              <xdr:nvSpPr>
                <xdr:cNvPr id="57" name="Rectangle: Rounded Corners 56">
                  <a:extLst>
                    <a:ext uri="{FF2B5EF4-FFF2-40B4-BE49-F238E27FC236}">
                      <a16:creationId xmlns:a16="http://schemas.microsoft.com/office/drawing/2014/main" id="{FB0D0473-DC15-D7B7-A612-9E65FC960CF9}"/>
                    </a:ext>
                  </a:extLst>
                </xdr:cNvPr>
                <xdr:cNvSpPr/>
              </xdr:nvSpPr>
              <xdr:spPr>
                <a:xfrm>
                  <a:off x="9540241" y="840463"/>
                  <a:ext cx="701039" cy="25823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0">
                      <a:solidFill>
                        <a:schemeClr val="tx1">
                          <a:lumMod val="85000"/>
                          <a:lumOff val="15000"/>
                        </a:schemeClr>
                      </a:solidFill>
                      <a:latin typeface="Arial" panose="020B0604020202020204" pitchFamily="34" charset="0"/>
                      <a:cs typeface="Arial" panose="020B0604020202020204" pitchFamily="34" charset="0"/>
                    </a:rPr>
                    <a:t>Enrolled-</a:t>
                  </a:r>
                </a:p>
              </xdr:txBody>
            </xdr:sp>
          </xdr:grpSp>
          <xdr:sp macro="" textlink="">
            <xdr:nvSpPr>
              <xdr:cNvPr id="55" name="Rectangle 54">
                <a:extLst>
                  <a:ext uri="{FF2B5EF4-FFF2-40B4-BE49-F238E27FC236}">
                    <a16:creationId xmlns:a16="http://schemas.microsoft.com/office/drawing/2014/main" id="{41AE3992-74C2-BD95-A5DB-E1C45259BDA6}"/>
                  </a:ext>
                </a:extLst>
              </xdr:cNvPr>
              <xdr:cNvSpPr/>
            </xdr:nvSpPr>
            <xdr:spPr>
              <a:xfrm>
                <a:off x="9700260" y="1082040"/>
                <a:ext cx="800100" cy="45719"/>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clientData/>
  </xdr:twoCellAnchor>
  <xdr:twoCellAnchor>
    <xdr:from>
      <xdr:col>12</xdr:col>
      <xdr:colOff>365760</xdr:colOff>
      <xdr:row>13</xdr:row>
      <xdr:rowOff>152400</xdr:rowOff>
    </xdr:from>
    <xdr:to>
      <xdr:col>15</xdr:col>
      <xdr:colOff>182880</xdr:colOff>
      <xdr:row>24</xdr:row>
      <xdr:rowOff>156210</xdr:rowOff>
    </xdr:to>
    <xdr:graphicFrame macro="">
      <xdr:nvGraphicFramePr>
        <xdr:cNvPr id="60" name="Chart 59">
          <a:extLst>
            <a:ext uri="{FF2B5EF4-FFF2-40B4-BE49-F238E27FC236}">
              <a16:creationId xmlns:a16="http://schemas.microsoft.com/office/drawing/2014/main" id="{A698236C-6AA1-4C3E-9C40-AC7EE26E4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105156</xdr:colOff>
      <xdr:row>4</xdr:row>
      <xdr:rowOff>45720</xdr:rowOff>
    </xdr:from>
    <xdr:to>
      <xdr:col>12</xdr:col>
      <xdr:colOff>280416</xdr:colOff>
      <xdr:row>12</xdr:row>
      <xdr:rowOff>100584</xdr:rowOff>
    </xdr:to>
    <xdr:grpSp>
      <xdr:nvGrpSpPr>
        <xdr:cNvPr id="65" name="Group 64">
          <a:extLst>
            <a:ext uri="{FF2B5EF4-FFF2-40B4-BE49-F238E27FC236}">
              <a16:creationId xmlns:a16="http://schemas.microsoft.com/office/drawing/2014/main" id="{CDAF628D-FFA8-0879-DAEA-CBFA01918182}"/>
            </a:ext>
          </a:extLst>
        </xdr:cNvPr>
        <xdr:cNvGrpSpPr/>
      </xdr:nvGrpSpPr>
      <xdr:grpSpPr>
        <a:xfrm>
          <a:off x="6201156" y="777240"/>
          <a:ext cx="1394460" cy="1517904"/>
          <a:chOff x="6201156" y="777240"/>
          <a:chExt cx="1394460" cy="1517904"/>
        </a:xfrm>
      </xdr:grpSpPr>
      <xdr:sp macro="" textlink="">
        <xdr:nvSpPr>
          <xdr:cNvPr id="8" name="Rectangle: Rounded Corners 7">
            <a:extLst>
              <a:ext uri="{FF2B5EF4-FFF2-40B4-BE49-F238E27FC236}">
                <a16:creationId xmlns:a16="http://schemas.microsoft.com/office/drawing/2014/main" id="{C1AFFD24-7469-A857-5ED6-745AF513CC99}"/>
              </a:ext>
            </a:extLst>
          </xdr:cNvPr>
          <xdr:cNvSpPr/>
        </xdr:nvSpPr>
        <xdr:spPr>
          <a:xfrm>
            <a:off x="6201156" y="777240"/>
            <a:ext cx="1394460" cy="1517904"/>
          </a:xfrm>
          <a:prstGeom prst="roundRect">
            <a:avLst>
              <a:gd name="adj" fmla="val 6207"/>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b="1">
              <a:solidFill>
                <a:schemeClr val="bg1">
                  <a:lumMod val="85000"/>
                </a:schemeClr>
              </a:solidFill>
              <a:latin typeface="Arial Black" panose="020B0A04020102020204" pitchFamily="34" charset="0"/>
            </a:endParaRPr>
          </a:p>
        </xdr:txBody>
      </xdr:sp>
      <xdr:sp macro="" textlink="">
        <xdr:nvSpPr>
          <xdr:cNvPr id="9" name="Rectangle: Rounded Corners 8">
            <a:extLst>
              <a:ext uri="{FF2B5EF4-FFF2-40B4-BE49-F238E27FC236}">
                <a16:creationId xmlns:a16="http://schemas.microsoft.com/office/drawing/2014/main" id="{C61633D6-8886-C41D-F4F1-92C65559B8F0}"/>
              </a:ext>
            </a:extLst>
          </xdr:cNvPr>
          <xdr:cNvSpPr/>
        </xdr:nvSpPr>
        <xdr:spPr>
          <a:xfrm>
            <a:off x="6364986" y="822960"/>
            <a:ext cx="1097280" cy="320040"/>
          </a:xfrm>
          <a:prstGeom prst="round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2">
                    <a:lumMod val="75000"/>
                  </a:schemeClr>
                </a:solidFill>
                <a:latin typeface="Arial Black" panose="020B0A04020102020204" pitchFamily="34" charset="0"/>
              </a:rPr>
              <a:t>FILLED</a:t>
            </a:r>
            <a:r>
              <a:rPr lang="en-US" sz="1100" b="1" baseline="0">
                <a:solidFill>
                  <a:schemeClr val="accent2">
                    <a:lumMod val="75000"/>
                  </a:schemeClr>
                </a:solidFill>
                <a:latin typeface="Arial Black" panose="020B0A04020102020204" pitchFamily="34" charset="0"/>
              </a:rPr>
              <a:t>-UP</a:t>
            </a:r>
            <a:endParaRPr lang="en-US" sz="1100" b="1">
              <a:solidFill>
                <a:schemeClr val="accent2">
                  <a:lumMod val="75000"/>
                </a:schemeClr>
              </a:solidFill>
              <a:latin typeface="Arial Black" panose="020B0A04020102020204" pitchFamily="34" charset="0"/>
            </a:endParaRPr>
          </a:p>
        </xdr:txBody>
      </xdr:sp>
      <xdr:sp macro="" textlink="Analysis!C6">
        <xdr:nvSpPr>
          <xdr:cNvPr id="16" name="Rectangle: Rounded Corners 15">
            <a:extLst>
              <a:ext uri="{FF2B5EF4-FFF2-40B4-BE49-F238E27FC236}">
                <a16:creationId xmlns:a16="http://schemas.microsoft.com/office/drawing/2014/main" id="{FA26F464-8844-4B26-98B3-565AD0B84998}"/>
              </a:ext>
            </a:extLst>
          </xdr:cNvPr>
          <xdr:cNvSpPr/>
        </xdr:nvSpPr>
        <xdr:spPr>
          <a:xfrm>
            <a:off x="6353556" y="1165860"/>
            <a:ext cx="1097280" cy="594360"/>
          </a:xfrm>
          <a:prstGeom prst="roundRect">
            <a:avLst>
              <a:gd name="adj" fmla="val 11617"/>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77C7B46-6C04-4F5A-ACDA-E13DDF03E925}" type="TxLink">
              <a:rPr lang="en-US" sz="2200" b="0" i="0" u="none" strike="noStrike">
                <a:solidFill>
                  <a:schemeClr val="accent2">
                    <a:lumMod val="75000"/>
                  </a:schemeClr>
                </a:solidFill>
                <a:latin typeface="Arial Black" panose="020B0A04020102020204" pitchFamily="34" charset="0"/>
                <a:ea typeface="Calibri"/>
                <a:cs typeface="Calibri"/>
              </a:rPr>
              <a:pPr algn="ctr"/>
              <a:t>61%</a:t>
            </a:fld>
            <a:endParaRPr lang="en-US" sz="2200" b="1">
              <a:solidFill>
                <a:schemeClr val="accent2">
                  <a:lumMod val="75000"/>
                </a:schemeClr>
              </a:solidFill>
              <a:latin typeface="Arial Black" panose="020B0A04020102020204" pitchFamily="34" charset="0"/>
            </a:endParaRPr>
          </a:p>
        </xdr:txBody>
      </xdr:sp>
      <xdr:sp macro="" textlink="">
        <xdr:nvSpPr>
          <xdr:cNvPr id="18" name="Rectangle: Rounded Corners 17">
            <a:extLst>
              <a:ext uri="{FF2B5EF4-FFF2-40B4-BE49-F238E27FC236}">
                <a16:creationId xmlns:a16="http://schemas.microsoft.com/office/drawing/2014/main" id="{84BFF7A9-1A6C-48A1-BD79-D41B8997FF3D}"/>
              </a:ext>
            </a:extLst>
          </xdr:cNvPr>
          <xdr:cNvSpPr/>
        </xdr:nvSpPr>
        <xdr:spPr>
          <a:xfrm>
            <a:off x="6368796" y="1539240"/>
            <a:ext cx="1021080" cy="2057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0">
                <a:solidFill>
                  <a:schemeClr val="accent2">
                    <a:lumMod val="75000"/>
                  </a:schemeClr>
                </a:solidFill>
                <a:latin typeface="Arial "/>
              </a:rPr>
              <a:t>Convertion</a:t>
            </a:r>
            <a:r>
              <a:rPr lang="en-US" sz="900" b="0" baseline="0">
                <a:solidFill>
                  <a:schemeClr val="accent2">
                    <a:lumMod val="75000"/>
                  </a:schemeClr>
                </a:solidFill>
                <a:latin typeface="Arial "/>
              </a:rPr>
              <a:t> rate</a:t>
            </a:r>
            <a:endParaRPr lang="en-US" sz="900" b="0">
              <a:solidFill>
                <a:schemeClr val="accent2">
                  <a:lumMod val="75000"/>
                </a:schemeClr>
              </a:solidFill>
              <a:latin typeface="Arial "/>
            </a:endParaRPr>
          </a:p>
        </xdr:txBody>
      </xdr:sp>
      <xdr:sp macro="" textlink="Analysis!C5">
        <xdr:nvSpPr>
          <xdr:cNvPr id="10" name="Rectangle: Rounded Corners 9">
            <a:extLst>
              <a:ext uri="{FF2B5EF4-FFF2-40B4-BE49-F238E27FC236}">
                <a16:creationId xmlns:a16="http://schemas.microsoft.com/office/drawing/2014/main" id="{3F6F49F8-38EB-5CDF-AA36-A0DD9B2BCC93}"/>
              </a:ext>
            </a:extLst>
          </xdr:cNvPr>
          <xdr:cNvSpPr/>
        </xdr:nvSpPr>
        <xdr:spPr>
          <a:xfrm>
            <a:off x="6355080" y="1775460"/>
            <a:ext cx="541020" cy="403860"/>
          </a:xfrm>
          <a:prstGeom prst="roundRect">
            <a:avLst>
              <a:gd name="adj" fmla="val 11617"/>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731E50A-9E23-443F-8A78-A9D7B4F120D7}" type="TxLink">
              <a:rPr lang="en-US" sz="1500" b="0" i="0" u="none" strike="noStrike">
                <a:solidFill>
                  <a:schemeClr val="accent2">
                    <a:lumMod val="75000"/>
                  </a:schemeClr>
                </a:solidFill>
                <a:latin typeface="Arial" panose="020B0604020202020204" pitchFamily="34" charset="0"/>
                <a:ea typeface="Calibri"/>
                <a:cs typeface="Arial" panose="020B0604020202020204" pitchFamily="34" charset="0"/>
              </a:rPr>
              <a:pPr algn="ctr"/>
              <a:t>737</a:t>
            </a:fld>
            <a:endParaRPr lang="en-US" sz="1500" b="1">
              <a:solidFill>
                <a:schemeClr val="accent2">
                  <a:lumMod val="75000"/>
                </a:schemeClr>
              </a:solidFill>
              <a:latin typeface="Arial" panose="020B0604020202020204" pitchFamily="34" charset="0"/>
              <a:cs typeface="Arial" panose="020B0604020202020204" pitchFamily="34" charset="0"/>
            </a:endParaRPr>
          </a:p>
        </xdr:txBody>
      </xdr:sp>
      <xdr:sp macro="" textlink="">
        <xdr:nvSpPr>
          <xdr:cNvPr id="20" name="Rectangle: Rounded Corners 19">
            <a:extLst>
              <a:ext uri="{FF2B5EF4-FFF2-40B4-BE49-F238E27FC236}">
                <a16:creationId xmlns:a16="http://schemas.microsoft.com/office/drawing/2014/main" id="{95C1A88D-635A-4DA7-957F-6578F31880AA}"/>
              </a:ext>
            </a:extLst>
          </xdr:cNvPr>
          <xdr:cNvSpPr/>
        </xdr:nvSpPr>
        <xdr:spPr>
          <a:xfrm>
            <a:off x="6365328" y="1965960"/>
            <a:ext cx="530772" cy="1981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0">
                <a:solidFill>
                  <a:schemeClr val="accent2">
                    <a:lumMod val="75000"/>
                  </a:schemeClr>
                </a:solidFill>
                <a:latin typeface="Arial "/>
              </a:rPr>
              <a:t>Total</a:t>
            </a:r>
          </a:p>
        </xdr:txBody>
      </xdr:sp>
      <xdr:sp macro="" textlink="Analysis!E5">
        <xdr:nvSpPr>
          <xdr:cNvPr id="63" name="Rectangle: Rounded Corners 62">
            <a:extLst>
              <a:ext uri="{FF2B5EF4-FFF2-40B4-BE49-F238E27FC236}">
                <a16:creationId xmlns:a16="http://schemas.microsoft.com/office/drawing/2014/main" id="{BE9DC170-A513-4901-E799-516C71532298}"/>
              </a:ext>
            </a:extLst>
          </xdr:cNvPr>
          <xdr:cNvSpPr/>
        </xdr:nvSpPr>
        <xdr:spPr>
          <a:xfrm>
            <a:off x="6917436" y="1775460"/>
            <a:ext cx="527304" cy="411480"/>
          </a:xfrm>
          <a:prstGeom prst="roundRect">
            <a:avLst>
              <a:gd name="adj" fmla="val 11617"/>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CC6E9EC-9F56-41D9-9AB8-8566A744F91C}" type="TxLink">
              <a:rPr lang="en-US" sz="1400" b="0" i="0" u="none" strike="noStrike">
                <a:solidFill>
                  <a:schemeClr val="accent2">
                    <a:lumMod val="75000"/>
                  </a:schemeClr>
                </a:solidFill>
                <a:latin typeface="Calibri"/>
                <a:ea typeface="Calibri"/>
                <a:cs typeface="Calibri"/>
              </a:rPr>
              <a:t>4</a:t>
            </a:fld>
            <a:endParaRPr lang="en-US" sz="1400" b="1">
              <a:solidFill>
                <a:schemeClr val="accent2">
                  <a:lumMod val="75000"/>
                </a:schemeClr>
              </a:solidFill>
              <a:latin typeface="Arial" panose="020B0604020202020204" pitchFamily="34" charset="0"/>
              <a:cs typeface="Arial" panose="020B0604020202020204" pitchFamily="34" charset="0"/>
            </a:endParaRPr>
          </a:p>
        </xdr:txBody>
      </xdr:sp>
      <xdr:sp macro="" textlink="">
        <xdr:nvSpPr>
          <xdr:cNvPr id="64" name="Rectangle: Rounded Corners 63">
            <a:extLst>
              <a:ext uri="{FF2B5EF4-FFF2-40B4-BE49-F238E27FC236}">
                <a16:creationId xmlns:a16="http://schemas.microsoft.com/office/drawing/2014/main" id="{F5BA0AF4-5FE6-FBCC-5448-FFC7767F24A0}"/>
              </a:ext>
            </a:extLst>
          </xdr:cNvPr>
          <xdr:cNvSpPr/>
        </xdr:nvSpPr>
        <xdr:spPr>
          <a:xfrm>
            <a:off x="6825996" y="1965960"/>
            <a:ext cx="763524" cy="2133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50" b="0">
                <a:solidFill>
                  <a:schemeClr val="accent2">
                    <a:lumMod val="75000"/>
                  </a:schemeClr>
                </a:solidFill>
                <a:latin typeface="Arial "/>
              </a:rPr>
              <a:t>Avg.</a:t>
            </a:r>
            <a:r>
              <a:rPr lang="en-US" sz="850" b="0" baseline="0">
                <a:solidFill>
                  <a:schemeClr val="accent2">
                    <a:lumMod val="75000"/>
                  </a:schemeClr>
                </a:solidFill>
                <a:latin typeface="Arial "/>
              </a:rPr>
              <a:t> Days</a:t>
            </a:r>
            <a:endParaRPr lang="en-US" sz="850" b="0">
              <a:solidFill>
                <a:schemeClr val="accent2">
                  <a:lumMod val="75000"/>
                </a:schemeClr>
              </a:solidFill>
              <a:latin typeface="Arial "/>
            </a:endParaRPr>
          </a:p>
        </xdr:txBody>
      </xdr:sp>
    </xdr:grpSp>
    <xdr:clientData/>
  </xdr:twoCellAnchor>
  <xdr:twoCellAnchor>
    <xdr:from>
      <xdr:col>14</xdr:col>
      <xdr:colOff>7620</xdr:colOff>
      <xdr:row>9</xdr:row>
      <xdr:rowOff>83820</xdr:rowOff>
    </xdr:from>
    <xdr:to>
      <xdr:col>14</xdr:col>
      <xdr:colOff>552450</xdr:colOff>
      <xdr:row>11</xdr:row>
      <xdr:rowOff>167640</xdr:rowOff>
    </xdr:to>
    <xdr:sp macro="" textlink="Analysis!F5">
      <xdr:nvSpPr>
        <xdr:cNvPr id="66" name="Rectangle: Rounded Corners 65">
          <a:extLst>
            <a:ext uri="{FF2B5EF4-FFF2-40B4-BE49-F238E27FC236}">
              <a16:creationId xmlns:a16="http://schemas.microsoft.com/office/drawing/2014/main" id="{FEE0D16F-B4A3-4A92-A0D5-BA01ED1DAABC}"/>
            </a:ext>
          </a:extLst>
        </xdr:cNvPr>
        <xdr:cNvSpPr/>
      </xdr:nvSpPr>
      <xdr:spPr>
        <a:xfrm>
          <a:off x="8542020" y="1729740"/>
          <a:ext cx="544830" cy="449580"/>
        </a:xfrm>
        <a:prstGeom prst="roundRect">
          <a:avLst>
            <a:gd name="adj" fmla="val 11617"/>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D2BB629-DC78-45D7-887D-D15597401E81}" type="TxLink">
            <a:rPr lang="en-US" sz="1500" b="0" i="0" u="none" strike="noStrike">
              <a:solidFill>
                <a:schemeClr val="accent6">
                  <a:lumMod val="75000"/>
                </a:schemeClr>
              </a:solidFill>
              <a:latin typeface="Calibri"/>
              <a:ea typeface="Calibri"/>
              <a:cs typeface="Calibri"/>
            </a:rPr>
            <a:t>7</a:t>
          </a:fld>
          <a:endParaRPr lang="en-US" sz="1500" b="1">
            <a:solidFill>
              <a:schemeClr val="accent6">
                <a:lumMod val="75000"/>
              </a:schemeClr>
            </a:solidFill>
            <a:latin typeface="Arial" panose="020B0604020202020204" pitchFamily="34" charset="0"/>
            <a:cs typeface="Arial" panose="020B0604020202020204" pitchFamily="34" charset="0"/>
          </a:endParaRPr>
        </a:p>
      </xdr:txBody>
    </xdr:sp>
    <xdr:clientData/>
  </xdr:twoCellAnchor>
  <xdr:twoCellAnchor>
    <xdr:from>
      <xdr:col>13</xdr:col>
      <xdr:colOff>533400</xdr:colOff>
      <xdr:row>10</xdr:row>
      <xdr:rowOff>114300</xdr:rowOff>
    </xdr:from>
    <xdr:to>
      <xdr:col>15</xdr:col>
      <xdr:colOff>76200</xdr:colOff>
      <xdr:row>12</xdr:row>
      <xdr:rowOff>0</xdr:rowOff>
    </xdr:to>
    <xdr:sp macro="" textlink="">
      <xdr:nvSpPr>
        <xdr:cNvPr id="67" name="Rectangle: Rounded Corners 66">
          <a:extLst>
            <a:ext uri="{FF2B5EF4-FFF2-40B4-BE49-F238E27FC236}">
              <a16:creationId xmlns:a16="http://schemas.microsoft.com/office/drawing/2014/main" id="{E3815DBE-CE9D-40D4-9950-5E3513A6B831}"/>
            </a:ext>
          </a:extLst>
        </xdr:cNvPr>
        <xdr:cNvSpPr/>
      </xdr:nvSpPr>
      <xdr:spPr>
        <a:xfrm>
          <a:off x="8458200" y="1943100"/>
          <a:ext cx="76200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0">
              <a:solidFill>
                <a:schemeClr val="accent6">
                  <a:lumMod val="75000"/>
                </a:schemeClr>
              </a:solidFill>
              <a:latin typeface="Arial" panose="020B0604020202020204" pitchFamily="34" charset="0"/>
              <a:cs typeface="Arial" panose="020B0604020202020204" pitchFamily="34" charset="0"/>
            </a:rPr>
            <a:t>Avg.</a:t>
          </a:r>
          <a:r>
            <a:rPr lang="en-US" sz="900" b="0" baseline="0">
              <a:solidFill>
                <a:schemeClr val="accent6">
                  <a:lumMod val="75000"/>
                </a:schemeClr>
              </a:solidFill>
              <a:latin typeface="Arial" panose="020B0604020202020204" pitchFamily="34" charset="0"/>
              <a:cs typeface="Arial" panose="020B0604020202020204" pitchFamily="34" charset="0"/>
            </a:rPr>
            <a:t> Days</a:t>
          </a:r>
          <a:endParaRPr lang="en-US" sz="900" b="0">
            <a:solidFill>
              <a:schemeClr val="accent6">
                <a:lumMod val="75000"/>
              </a:schemeClr>
            </a:solidFill>
            <a:latin typeface="Arial" panose="020B0604020202020204" pitchFamily="34" charset="0"/>
            <a:cs typeface="Arial" panose="020B0604020202020204" pitchFamily="34" charset="0"/>
          </a:endParaRPr>
        </a:p>
      </xdr:txBody>
    </xdr:sp>
    <xdr:clientData/>
  </xdr:twoCellAnchor>
  <xdr:twoCellAnchor>
    <xdr:from>
      <xdr:col>0</xdr:col>
      <xdr:colOff>175260</xdr:colOff>
      <xdr:row>14</xdr:row>
      <xdr:rowOff>22860</xdr:rowOff>
    </xdr:from>
    <xdr:to>
      <xdr:col>7</xdr:col>
      <xdr:colOff>60960</xdr:colOff>
      <xdr:row>25</xdr:row>
      <xdr:rowOff>68580</xdr:rowOff>
    </xdr:to>
    <xdr:grpSp>
      <xdr:nvGrpSpPr>
        <xdr:cNvPr id="74" name="Group 73">
          <a:extLst>
            <a:ext uri="{FF2B5EF4-FFF2-40B4-BE49-F238E27FC236}">
              <a16:creationId xmlns:a16="http://schemas.microsoft.com/office/drawing/2014/main" id="{FF5344F4-5D32-D790-1824-EB53BE184F4E}"/>
            </a:ext>
          </a:extLst>
        </xdr:cNvPr>
        <xdr:cNvGrpSpPr/>
      </xdr:nvGrpSpPr>
      <xdr:grpSpPr>
        <a:xfrm>
          <a:off x="175260" y="2583180"/>
          <a:ext cx="4152900" cy="2057400"/>
          <a:chOff x="228600" y="2583180"/>
          <a:chExt cx="4046220" cy="2057400"/>
        </a:xfrm>
      </xdr:grpSpPr>
      <xdr:sp macro="" textlink="">
        <xdr:nvSpPr>
          <xdr:cNvPr id="70" name="Rectangle: Rounded Corners 69">
            <a:extLst>
              <a:ext uri="{FF2B5EF4-FFF2-40B4-BE49-F238E27FC236}">
                <a16:creationId xmlns:a16="http://schemas.microsoft.com/office/drawing/2014/main" id="{C50F4B6E-AA21-488B-8084-E1CB7FF40698}"/>
              </a:ext>
            </a:extLst>
          </xdr:cNvPr>
          <xdr:cNvSpPr/>
        </xdr:nvSpPr>
        <xdr:spPr>
          <a:xfrm>
            <a:off x="251460" y="2598420"/>
            <a:ext cx="4023360" cy="2034540"/>
          </a:xfrm>
          <a:prstGeom prst="roundRect">
            <a:avLst>
              <a:gd name="adj" fmla="val 6207"/>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b="1">
              <a:solidFill>
                <a:schemeClr val="bg1">
                  <a:lumMod val="85000"/>
                </a:schemeClr>
              </a:solidFill>
              <a:latin typeface="Arial Black" panose="020B0A04020102020204" pitchFamily="34" charset="0"/>
            </a:endParaRPr>
          </a:p>
        </xdr:txBody>
      </xdr:sp>
      <xdr:graphicFrame macro="">
        <xdr:nvGraphicFramePr>
          <xdr:cNvPr id="39" name="Chart 38">
            <a:extLst>
              <a:ext uri="{FF2B5EF4-FFF2-40B4-BE49-F238E27FC236}">
                <a16:creationId xmlns:a16="http://schemas.microsoft.com/office/drawing/2014/main" id="{4F0CCA9B-628D-42D2-B102-2B1FC634DEDC}"/>
              </a:ext>
            </a:extLst>
          </xdr:cNvPr>
          <xdr:cNvGraphicFramePr>
            <a:graphicFrameLocks/>
          </xdr:cNvGraphicFramePr>
        </xdr:nvGraphicFramePr>
        <xdr:xfrm>
          <a:off x="228600" y="2583180"/>
          <a:ext cx="4046220" cy="20574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68" name="Rectangle: Rounded Corners 67">
            <a:extLst>
              <a:ext uri="{FF2B5EF4-FFF2-40B4-BE49-F238E27FC236}">
                <a16:creationId xmlns:a16="http://schemas.microsoft.com/office/drawing/2014/main" id="{12FDC892-068E-4C5D-A361-C5B11402DFC4}"/>
              </a:ext>
            </a:extLst>
          </xdr:cNvPr>
          <xdr:cNvSpPr/>
        </xdr:nvSpPr>
        <xdr:spPr>
          <a:xfrm>
            <a:off x="335280" y="2644140"/>
            <a:ext cx="1866900" cy="22098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lumMod val="85000"/>
                    <a:lumOff val="15000"/>
                  </a:schemeClr>
                </a:solidFill>
                <a:latin typeface="Arial" panose="020B0604020202020204" pitchFamily="34" charset="0"/>
                <a:cs typeface="Arial" panose="020B0604020202020204" pitchFamily="34" charset="0"/>
              </a:rPr>
              <a:t>Trend</a:t>
            </a:r>
            <a:r>
              <a:rPr lang="en-US" sz="1100" baseline="0">
                <a:solidFill>
                  <a:schemeClr val="tx1">
                    <a:lumMod val="85000"/>
                    <a:lumOff val="15000"/>
                  </a:schemeClr>
                </a:solidFill>
                <a:latin typeface="Arial" panose="020B0604020202020204" pitchFamily="34" charset="0"/>
                <a:cs typeface="Arial" panose="020B0604020202020204" pitchFamily="34" charset="0"/>
              </a:rPr>
              <a:t> Fill-up in Days</a:t>
            </a:r>
            <a:endParaRPr lang="en-US" sz="1100">
              <a:solidFill>
                <a:schemeClr val="tx1">
                  <a:lumMod val="85000"/>
                  <a:lumOff val="15000"/>
                </a:schemeClr>
              </a:solidFill>
              <a:latin typeface="Arial" panose="020B0604020202020204" pitchFamily="34" charset="0"/>
              <a:cs typeface="Arial" panose="020B0604020202020204" pitchFamily="34" charset="0"/>
            </a:endParaRPr>
          </a:p>
        </xdr:txBody>
      </xdr:sp>
    </xdr:grpSp>
    <xdr:clientData/>
  </xdr:twoCellAnchor>
  <xdr:twoCellAnchor>
    <xdr:from>
      <xdr:col>0</xdr:col>
      <xdr:colOff>45720</xdr:colOff>
      <xdr:row>25</xdr:row>
      <xdr:rowOff>121920</xdr:rowOff>
    </xdr:from>
    <xdr:to>
      <xdr:col>7</xdr:col>
      <xdr:colOff>99060</xdr:colOff>
      <xdr:row>36</xdr:row>
      <xdr:rowOff>144780</xdr:rowOff>
    </xdr:to>
    <xdr:grpSp>
      <xdr:nvGrpSpPr>
        <xdr:cNvPr id="73" name="Group 72">
          <a:extLst>
            <a:ext uri="{FF2B5EF4-FFF2-40B4-BE49-F238E27FC236}">
              <a16:creationId xmlns:a16="http://schemas.microsoft.com/office/drawing/2014/main" id="{9DF4F01C-2903-98DD-8235-4D10F6C48154}"/>
            </a:ext>
          </a:extLst>
        </xdr:cNvPr>
        <xdr:cNvGrpSpPr/>
      </xdr:nvGrpSpPr>
      <xdr:grpSpPr>
        <a:xfrm>
          <a:off x="45720" y="4693920"/>
          <a:ext cx="4320540" cy="2034540"/>
          <a:chOff x="45720" y="4693920"/>
          <a:chExt cx="4320540" cy="2034540"/>
        </a:xfrm>
      </xdr:grpSpPr>
      <xdr:sp macro="" textlink="">
        <xdr:nvSpPr>
          <xdr:cNvPr id="71" name="Rectangle: Rounded Corners 70">
            <a:extLst>
              <a:ext uri="{FF2B5EF4-FFF2-40B4-BE49-F238E27FC236}">
                <a16:creationId xmlns:a16="http://schemas.microsoft.com/office/drawing/2014/main" id="{B8A42B4E-DF5A-4B80-92C8-B9EE726D89DF}"/>
              </a:ext>
            </a:extLst>
          </xdr:cNvPr>
          <xdr:cNvSpPr/>
        </xdr:nvSpPr>
        <xdr:spPr>
          <a:xfrm>
            <a:off x="190500" y="4693920"/>
            <a:ext cx="4122420" cy="2034540"/>
          </a:xfrm>
          <a:prstGeom prst="roundRect">
            <a:avLst>
              <a:gd name="adj" fmla="val 6207"/>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b="1">
              <a:solidFill>
                <a:schemeClr val="bg1">
                  <a:lumMod val="85000"/>
                </a:schemeClr>
              </a:solidFill>
              <a:latin typeface="Arial Black" panose="020B0A04020102020204" pitchFamily="34" charset="0"/>
            </a:endParaRPr>
          </a:p>
        </xdr:txBody>
      </xdr:sp>
      <xdr:graphicFrame macro="">
        <xdr:nvGraphicFramePr>
          <xdr:cNvPr id="40" name="Chart 39">
            <a:extLst>
              <a:ext uri="{FF2B5EF4-FFF2-40B4-BE49-F238E27FC236}">
                <a16:creationId xmlns:a16="http://schemas.microsoft.com/office/drawing/2014/main" id="{80153733-BBDA-4CA9-9347-A0140D83D355}"/>
              </a:ext>
            </a:extLst>
          </xdr:cNvPr>
          <xdr:cNvGraphicFramePr>
            <a:graphicFrameLocks/>
          </xdr:cNvGraphicFramePr>
        </xdr:nvGraphicFramePr>
        <xdr:xfrm>
          <a:off x="45720" y="4709160"/>
          <a:ext cx="4320540" cy="200406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72" name="Rectangle: Rounded Corners 71">
            <a:extLst>
              <a:ext uri="{FF2B5EF4-FFF2-40B4-BE49-F238E27FC236}">
                <a16:creationId xmlns:a16="http://schemas.microsoft.com/office/drawing/2014/main" id="{8E19CF5E-74CE-46EE-8D41-E8B7B6C7FCB6}"/>
              </a:ext>
            </a:extLst>
          </xdr:cNvPr>
          <xdr:cNvSpPr/>
        </xdr:nvSpPr>
        <xdr:spPr>
          <a:xfrm>
            <a:off x="342900" y="4739640"/>
            <a:ext cx="1866900" cy="22098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lumMod val="85000"/>
                    <a:lumOff val="15000"/>
                  </a:schemeClr>
                </a:solidFill>
                <a:latin typeface="Arial" panose="020B0604020202020204" pitchFamily="34" charset="0"/>
                <a:cs typeface="Arial" panose="020B0604020202020204" pitchFamily="34" charset="0"/>
              </a:rPr>
              <a:t>Trend</a:t>
            </a:r>
            <a:r>
              <a:rPr lang="en-US" sz="1100" baseline="0">
                <a:solidFill>
                  <a:schemeClr val="tx1">
                    <a:lumMod val="85000"/>
                    <a:lumOff val="15000"/>
                  </a:schemeClr>
                </a:solidFill>
                <a:latin typeface="Arial" panose="020B0604020202020204" pitchFamily="34" charset="0"/>
                <a:cs typeface="Arial" panose="020B0604020202020204" pitchFamily="34" charset="0"/>
              </a:rPr>
              <a:t> Fill-up in Months</a:t>
            </a:r>
            <a:endParaRPr lang="en-US" sz="1100">
              <a:solidFill>
                <a:schemeClr val="tx1">
                  <a:lumMod val="85000"/>
                  <a:lumOff val="15000"/>
                </a:schemeClr>
              </a:solidFill>
              <a:latin typeface="Arial" panose="020B0604020202020204" pitchFamily="34" charset="0"/>
              <a:cs typeface="Arial" panose="020B0604020202020204" pitchFamily="34" charset="0"/>
            </a:endParaRPr>
          </a:p>
        </xdr:txBody>
      </xdr:sp>
    </xdr:grpSp>
    <xdr:clientData/>
  </xdr:twoCellAnchor>
  <xdr:twoCellAnchor>
    <xdr:from>
      <xdr:col>7</xdr:col>
      <xdr:colOff>236220</xdr:colOff>
      <xdr:row>14</xdr:row>
      <xdr:rowOff>15240</xdr:rowOff>
    </xdr:from>
    <xdr:to>
      <xdr:col>12</xdr:col>
      <xdr:colOff>274320</xdr:colOff>
      <xdr:row>36</xdr:row>
      <xdr:rowOff>137160</xdr:rowOff>
    </xdr:to>
    <xdr:grpSp>
      <xdr:nvGrpSpPr>
        <xdr:cNvPr id="81" name="Group 80">
          <a:extLst>
            <a:ext uri="{FF2B5EF4-FFF2-40B4-BE49-F238E27FC236}">
              <a16:creationId xmlns:a16="http://schemas.microsoft.com/office/drawing/2014/main" id="{107D43E1-5D88-C77D-7187-3B74C1DF90B8}"/>
            </a:ext>
          </a:extLst>
        </xdr:cNvPr>
        <xdr:cNvGrpSpPr/>
      </xdr:nvGrpSpPr>
      <xdr:grpSpPr>
        <a:xfrm>
          <a:off x="4503420" y="2575560"/>
          <a:ext cx="3086100" cy="4145280"/>
          <a:chOff x="4503420" y="2606040"/>
          <a:chExt cx="3086100" cy="4145280"/>
        </a:xfrm>
      </xdr:grpSpPr>
      <xdr:sp macro="" textlink="">
        <xdr:nvSpPr>
          <xdr:cNvPr id="75" name="Rectangle: Rounded Corners 74">
            <a:extLst>
              <a:ext uri="{FF2B5EF4-FFF2-40B4-BE49-F238E27FC236}">
                <a16:creationId xmlns:a16="http://schemas.microsoft.com/office/drawing/2014/main" id="{8A142351-A49C-4950-812C-4B6B68271A02}"/>
              </a:ext>
            </a:extLst>
          </xdr:cNvPr>
          <xdr:cNvSpPr/>
        </xdr:nvSpPr>
        <xdr:spPr>
          <a:xfrm>
            <a:off x="4518660" y="2606040"/>
            <a:ext cx="3070860" cy="4145280"/>
          </a:xfrm>
          <a:prstGeom prst="roundRect">
            <a:avLst>
              <a:gd name="adj" fmla="val 6207"/>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b="1">
              <a:solidFill>
                <a:schemeClr val="bg1">
                  <a:lumMod val="85000"/>
                </a:schemeClr>
              </a:solidFill>
              <a:latin typeface="Arial Black" panose="020B0A04020102020204" pitchFamily="34" charset="0"/>
            </a:endParaRPr>
          </a:p>
        </xdr:txBody>
      </xdr:sp>
      <xdr:graphicFrame macro="">
        <xdr:nvGraphicFramePr>
          <xdr:cNvPr id="12" name="Chart 11">
            <a:extLst>
              <a:ext uri="{FF2B5EF4-FFF2-40B4-BE49-F238E27FC236}">
                <a16:creationId xmlns:a16="http://schemas.microsoft.com/office/drawing/2014/main" id="{391940DA-2BC0-46A9-AC38-C783D3A9E705}"/>
              </a:ext>
            </a:extLst>
          </xdr:cNvPr>
          <xdr:cNvGraphicFramePr>
            <a:graphicFrameLocks/>
          </xdr:cNvGraphicFramePr>
        </xdr:nvGraphicFramePr>
        <xdr:xfrm>
          <a:off x="4503420" y="2613660"/>
          <a:ext cx="3044190" cy="405003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76" name="Rectangle: Rounded Corners 75">
            <a:extLst>
              <a:ext uri="{FF2B5EF4-FFF2-40B4-BE49-F238E27FC236}">
                <a16:creationId xmlns:a16="http://schemas.microsoft.com/office/drawing/2014/main" id="{DD197BDB-FF39-4E7A-B8F4-F8CDD2DC6DBF}"/>
              </a:ext>
            </a:extLst>
          </xdr:cNvPr>
          <xdr:cNvSpPr/>
        </xdr:nvSpPr>
        <xdr:spPr>
          <a:xfrm>
            <a:off x="4922520" y="2659380"/>
            <a:ext cx="2225040" cy="27432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lumMod val="85000"/>
                    <a:lumOff val="15000"/>
                  </a:schemeClr>
                </a:solidFill>
                <a:latin typeface="Arial" panose="020B0604020202020204" pitchFamily="34" charset="0"/>
                <a:cs typeface="Arial" panose="020B0604020202020204" pitchFamily="34" charset="0"/>
              </a:rPr>
              <a:t>Filled-up</a:t>
            </a:r>
            <a:r>
              <a:rPr lang="en-US" sz="1100" baseline="0">
                <a:solidFill>
                  <a:schemeClr val="tx1">
                    <a:lumMod val="85000"/>
                    <a:lumOff val="15000"/>
                  </a:schemeClr>
                </a:solidFill>
                <a:latin typeface="Arial" panose="020B0604020202020204" pitchFamily="34" charset="0"/>
                <a:cs typeface="Arial" panose="020B0604020202020204" pitchFamily="34" charset="0"/>
              </a:rPr>
              <a:t> VS Enrolled by Level</a:t>
            </a:r>
            <a:endParaRPr lang="en-US" sz="1100">
              <a:solidFill>
                <a:schemeClr val="tx1">
                  <a:lumMod val="85000"/>
                  <a:lumOff val="15000"/>
                </a:schemeClr>
              </a:solidFill>
              <a:latin typeface="Arial" panose="020B0604020202020204" pitchFamily="34" charset="0"/>
              <a:cs typeface="Arial" panose="020B0604020202020204" pitchFamily="34" charset="0"/>
            </a:endParaRPr>
          </a:p>
        </xdr:txBody>
      </xdr:sp>
    </xdr:grpSp>
    <xdr:clientData/>
  </xdr:twoCellAnchor>
  <xdr:twoCellAnchor>
    <xdr:from>
      <xdr:col>15</xdr:col>
      <xdr:colOff>243840</xdr:colOff>
      <xdr:row>14</xdr:row>
      <xdr:rowOff>15240</xdr:rowOff>
    </xdr:from>
    <xdr:to>
      <xdr:col>21</xdr:col>
      <xdr:colOff>236220</xdr:colOff>
      <xdr:row>24</xdr:row>
      <xdr:rowOff>129540</xdr:rowOff>
    </xdr:to>
    <xdr:grpSp>
      <xdr:nvGrpSpPr>
        <xdr:cNvPr id="82" name="Group 81">
          <a:extLst>
            <a:ext uri="{FF2B5EF4-FFF2-40B4-BE49-F238E27FC236}">
              <a16:creationId xmlns:a16="http://schemas.microsoft.com/office/drawing/2014/main" id="{7BCC4AA4-80D6-AE84-50D9-58B7B0F5532F}"/>
            </a:ext>
          </a:extLst>
        </xdr:cNvPr>
        <xdr:cNvGrpSpPr/>
      </xdr:nvGrpSpPr>
      <xdr:grpSpPr>
        <a:xfrm>
          <a:off x="9387840" y="2575560"/>
          <a:ext cx="3649980" cy="1943100"/>
          <a:chOff x="9387840" y="2651760"/>
          <a:chExt cx="3649980" cy="1943100"/>
        </a:xfrm>
      </xdr:grpSpPr>
      <xdr:sp macro="" textlink="">
        <xdr:nvSpPr>
          <xdr:cNvPr id="77" name="Rectangle: Rounded Corners 76">
            <a:extLst>
              <a:ext uri="{FF2B5EF4-FFF2-40B4-BE49-F238E27FC236}">
                <a16:creationId xmlns:a16="http://schemas.microsoft.com/office/drawing/2014/main" id="{70BC1C34-36A4-41B6-AA7F-B2FD6942068D}"/>
              </a:ext>
            </a:extLst>
          </xdr:cNvPr>
          <xdr:cNvSpPr/>
        </xdr:nvSpPr>
        <xdr:spPr>
          <a:xfrm>
            <a:off x="9387840" y="2651760"/>
            <a:ext cx="3649980" cy="1943100"/>
          </a:xfrm>
          <a:prstGeom prst="roundRect">
            <a:avLst>
              <a:gd name="adj" fmla="val 6207"/>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b="1">
              <a:solidFill>
                <a:schemeClr val="bg1">
                  <a:lumMod val="85000"/>
                </a:schemeClr>
              </a:solidFill>
              <a:latin typeface="Arial Black" panose="020B0A04020102020204" pitchFamily="34" charset="0"/>
            </a:endParaRPr>
          </a:p>
        </xdr:txBody>
      </xdr:sp>
      <xdr:graphicFrame macro="">
        <xdr:nvGraphicFramePr>
          <xdr:cNvPr id="61" name="Chart 60">
            <a:extLst>
              <a:ext uri="{FF2B5EF4-FFF2-40B4-BE49-F238E27FC236}">
                <a16:creationId xmlns:a16="http://schemas.microsoft.com/office/drawing/2014/main" id="{78AD1734-8D4A-4926-8F42-AFE2EF72E434}"/>
              </a:ext>
            </a:extLst>
          </xdr:cNvPr>
          <xdr:cNvGraphicFramePr>
            <a:graphicFrameLocks/>
          </xdr:cNvGraphicFramePr>
        </xdr:nvGraphicFramePr>
        <xdr:xfrm>
          <a:off x="9456420" y="2895600"/>
          <a:ext cx="3497580" cy="155448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79" name="Rectangle: Rounded Corners 78">
            <a:extLst>
              <a:ext uri="{FF2B5EF4-FFF2-40B4-BE49-F238E27FC236}">
                <a16:creationId xmlns:a16="http://schemas.microsoft.com/office/drawing/2014/main" id="{779FA6DC-D29C-4701-9D33-6E349807F310}"/>
              </a:ext>
            </a:extLst>
          </xdr:cNvPr>
          <xdr:cNvSpPr/>
        </xdr:nvSpPr>
        <xdr:spPr>
          <a:xfrm>
            <a:off x="10706100" y="2674620"/>
            <a:ext cx="777240" cy="27432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lumMod val="85000"/>
                    <a:lumOff val="15000"/>
                  </a:schemeClr>
                </a:solidFill>
                <a:latin typeface="Arial" panose="020B0604020202020204" pitchFamily="34" charset="0"/>
                <a:cs typeface="Arial" panose="020B0604020202020204" pitchFamily="34" charset="0"/>
              </a:rPr>
              <a:t>Status</a:t>
            </a:r>
          </a:p>
        </xdr:txBody>
      </xdr:sp>
    </xdr:grpSp>
    <xdr:clientData/>
  </xdr:twoCellAnchor>
  <xdr:twoCellAnchor>
    <xdr:from>
      <xdr:col>12</xdr:col>
      <xdr:colOff>388620</xdr:colOff>
      <xdr:row>25</xdr:row>
      <xdr:rowOff>38100</xdr:rowOff>
    </xdr:from>
    <xdr:to>
      <xdr:col>21</xdr:col>
      <xdr:colOff>342900</xdr:colOff>
      <xdr:row>37</xdr:row>
      <xdr:rowOff>38100</xdr:rowOff>
    </xdr:to>
    <xdr:grpSp>
      <xdr:nvGrpSpPr>
        <xdr:cNvPr id="84" name="Group 83">
          <a:extLst>
            <a:ext uri="{FF2B5EF4-FFF2-40B4-BE49-F238E27FC236}">
              <a16:creationId xmlns:a16="http://schemas.microsoft.com/office/drawing/2014/main" id="{06205129-CB8C-DFDF-D93E-2140820468A9}"/>
            </a:ext>
          </a:extLst>
        </xdr:cNvPr>
        <xdr:cNvGrpSpPr/>
      </xdr:nvGrpSpPr>
      <xdr:grpSpPr>
        <a:xfrm>
          <a:off x="7703820" y="4610100"/>
          <a:ext cx="5440680" cy="2194560"/>
          <a:chOff x="7719060" y="4709160"/>
          <a:chExt cx="5440680" cy="2194560"/>
        </a:xfrm>
      </xdr:grpSpPr>
      <xdr:sp macro="" textlink="">
        <xdr:nvSpPr>
          <xdr:cNvPr id="80" name="Rectangle: Rounded Corners 79">
            <a:extLst>
              <a:ext uri="{FF2B5EF4-FFF2-40B4-BE49-F238E27FC236}">
                <a16:creationId xmlns:a16="http://schemas.microsoft.com/office/drawing/2014/main" id="{D4744ED2-07D7-4250-A692-5F979B8274E1}"/>
              </a:ext>
            </a:extLst>
          </xdr:cNvPr>
          <xdr:cNvSpPr/>
        </xdr:nvSpPr>
        <xdr:spPr>
          <a:xfrm>
            <a:off x="7719060" y="4709160"/>
            <a:ext cx="5440680" cy="2194560"/>
          </a:xfrm>
          <a:prstGeom prst="roundRect">
            <a:avLst>
              <a:gd name="adj" fmla="val 6207"/>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b="1">
              <a:solidFill>
                <a:schemeClr val="bg1">
                  <a:lumMod val="85000"/>
                </a:schemeClr>
              </a:solidFill>
              <a:latin typeface="Arial Black" panose="020B0A04020102020204" pitchFamily="34" charset="0"/>
            </a:endParaRPr>
          </a:p>
        </xdr:txBody>
      </xdr:sp>
      <xdr:graphicFrame macro="">
        <xdr:nvGraphicFramePr>
          <xdr:cNvPr id="6" name="Chart 5">
            <a:extLst>
              <a:ext uri="{FF2B5EF4-FFF2-40B4-BE49-F238E27FC236}">
                <a16:creationId xmlns:a16="http://schemas.microsoft.com/office/drawing/2014/main" id="{A4067A5A-5C4C-48C5-8BC7-9530243A5E06}"/>
              </a:ext>
            </a:extLst>
          </xdr:cNvPr>
          <xdr:cNvGraphicFramePr>
            <a:graphicFrameLocks/>
          </xdr:cNvGraphicFramePr>
        </xdr:nvGraphicFramePr>
        <xdr:xfrm>
          <a:off x="7825740" y="4754880"/>
          <a:ext cx="5265420" cy="208407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83" name="Rectangle: Rounded Corners 82">
            <a:extLst>
              <a:ext uri="{FF2B5EF4-FFF2-40B4-BE49-F238E27FC236}">
                <a16:creationId xmlns:a16="http://schemas.microsoft.com/office/drawing/2014/main" id="{D385F3AC-8D69-46C5-9BBF-FA53A2109DCD}"/>
              </a:ext>
            </a:extLst>
          </xdr:cNvPr>
          <xdr:cNvSpPr/>
        </xdr:nvSpPr>
        <xdr:spPr>
          <a:xfrm>
            <a:off x="9364980" y="4747260"/>
            <a:ext cx="2385060" cy="27432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lumMod val="85000"/>
                    <a:lumOff val="15000"/>
                  </a:schemeClr>
                </a:solidFill>
                <a:latin typeface="Arial" panose="020B0604020202020204" pitchFamily="34" charset="0"/>
                <a:cs typeface="Arial" panose="020B0604020202020204" pitchFamily="34" charset="0"/>
              </a:rPr>
              <a:t>Filled-up</a:t>
            </a:r>
            <a:r>
              <a:rPr lang="en-US" sz="1100" baseline="0">
                <a:solidFill>
                  <a:schemeClr val="tx1">
                    <a:lumMod val="85000"/>
                    <a:lumOff val="15000"/>
                  </a:schemeClr>
                </a:solidFill>
                <a:latin typeface="Arial" panose="020B0604020202020204" pitchFamily="34" charset="0"/>
                <a:cs typeface="Arial" panose="020B0604020202020204" pitchFamily="34" charset="0"/>
              </a:rPr>
              <a:t> VS Enrolled by Channels</a:t>
            </a:r>
            <a:endParaRPr lang="en-US" sz="1100">
              <a:solidFill>
                <a:schemeClr val="tx1">
                  <a:lumMod val="85000"/>
                  <a:lumOff val="15000"/>
                </a:schemeClr>
              </a:solidFill>
              <a:latin typeface="Arial" panose="020B0604020202020204" pitchFamily="34" charset="0"/>
              <a:cs typeface="Arial" panose="020B0604020202020204" pitchFamily="34" charset="0"/>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30.910198958336" backgroundQuery="1" createdVersion="8" refreshedVersion="8" minRefreshableVersion="3" recordCount="0" supportSubquery="1" supportAdvancedDrill="1" xr:uid="{04765F06-6BF9-43FB-9E4A-1A4DF64316AB}">
  <cacheSource type="external" connectionId="4"/>
  <cacheFields count="11">
    <cacheField name="[Measures].[Count of Fill-Up_Date]" caption="Count of Fill-Up_Date" numFmtId="0" hierarchy="45" level="32767"/>
    <cacheField name="[Measures].[Count of Enrolled_Date]" caption="Count of Enrolled_Date" numFmtId="0" hierarchy="46" level="32767"/>
    <cacheField name="[Measures].[Count of First_Inquire_Date]" caption="Count of First_Inquire_Date" numFmtId="0" hierarchy="47" level="32767"/>
    <cacheField name="[Date].[Year].[Year]" caption="Year" numFmtId="0" hierarchy="2" level="1">
      <sharedItems containsSemiMixedTypes="0" containsNonDate="0" containsString="0"/>
    </cacheField>
    <cacheField name="[Measures].[Avg._day_inquire_to_fill-up]" caption="Avg._day_inquire_to_fill-up" numFmtId="0" hierarchy="34" level="32767"/>
    <cacheField name="[Measures].[Avg._day_Inquire_to_Enrolled]" caption="Avg._day_Inquire_to_Enrolled" numFmtId="0" hierarchy="35" level="32767"/>
    <cacheField name="[Measures].[Avg._Day_fill-up_to_enrolled]" caption="Avg._Day_fill-up_to_enrolled" numFmtId="0" hierarchy="36" level="32767"/>
    <cacheField name="[Measures].[First Follow-up (Enrolled)]" caption="First Follow-up (Enrolled)" numFmtId="0" hierarchy="37" level="32767"/>
    <cacheField name="[Measures].[Second Follow up ( Enrolled)]" caption="Second Follow up ( Enrolled)" numFmtId="0" hierarchy="38" level="32767"/>
    <cacheField name="[Measures].[Enrolled W/O Follow up]" caption="Enrolled W/O Follow up" numFmtId="0" hierarchy="39" level="32767"/>
    <cacheField name="[Measures].[Total Enrolled]" caption="Total Enrolled" numFmtId="0" hierarchy="40" level="32767"/>
  </cacheFields>
  <cacheHierarchies count="53">
    <cacheHierarchy uniqueName="[Calculation].[Measures]" caption="Measures" attribute="1" defaultMemberUniqueName="[Calculation].[Measures].[All]" allUniqueName="[Calculation].[Measures].[All]" dimensionUniqueName="[Calculation]" displayFolder="" count="0" memberValueDatatype="130" unbalanced="0"/>
    <cacheHierarchy uniqueName="[Date].[First_Inquire_Date]" caption="First_Inquire_Date" attribute="1" time="1" defaultMemberUniqueName="[Date].[First_Inquire_Date].[All]" allUniqueName="[Date].[First_Inquire_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3"/>
      </fieldsUsage>
    </cacheHierarchy>
    <cacheHierarchy uniqueName="[Date].[Month]" caption="Month" attribute="1" defaultMemberUniqueName="[Date].[Month].[All]" allUniqueName="[Date].[Month].[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Day_name]" caption="Day_name" attribute="1" defaultMemberUniqueName="[Date].[Day_name].[All]" allUniqueName="[Date].[Day_name].[All]" dimensionUniqueName="[Date]" displayFolder="" count="0" memberValueDatatype="130" unbalanced="0"/>
    <cacheHierarchy uniqueName="[Date].[Weektype]" caption="Weektype" attribute="1" defaultMemberUniqueName="[Date].[Weektype].[All]" allUniqueName="[Date].[Weektype].[All]" dimensionUniqueName="[Date]" displayFolder="" count="0" memberValueDatatype="130" unbalanced="0"/>
    <cacheHierarchy uniqueName="[Enrollment_Data_2023_2026].[Name]" caption="Name" attribute="1" defaultMemberUniqueName="[Enrollment_Data_2023_2026].[Name].[All]" allUniqueName="[Enrollment_Data_2023_2026].[Name].[All]" dimensionUniqueName="[Enrollment_Data_2023_2026]" displayFolder="" count="0" memberValueDatatype="130" unbalanced="0"/>
    <cacheHierarchy uniqueName="[Enrollment_Data_2023_2026].[Student_Level]" caption="Student_Level" attribute="1" defaultMemberUniqueName="[Enrollment_Data_2023_2026].[Student_Level].[All]" allUniqueName="[Enrollment_Data_2023_2026].[Student_Level].[All]" dimensionUniqueName="[Enrollment_Data_2023_2026]" displayFolder="" count="0" memberValueDatatype="130" unbalanced="0"/>
    <cacheHierarchy uniqueName="[Enrollment_Data_2023_2026].[Channel]" caption="Channel" attribute="1" defaultMemberUniqueName="[Enrollment_Data_2023_2026].[Channel].[All]" allUniqueName="[Enrollment_Data_2023_2026].[Channel].[All]" dimensionUniqueName="[Enrollment_Data_2023_2026]" displayFolder="" count="0" memberValueDatatype="130" unbalanced="0"/>
    <cacheHierarchy uniqueName="[Enrollment_Data_2023_2026].[First_Inquire_Date]" caption="First_Inquire_Date" attribute="1" time="1" defaultMemberUniqueName="[Enrollment_Data_2023_2026].[First_Inquire_Date].[All]" allUniqueName="[Enrollment_Data_2023_2026].[First_Inquire_Date].[All]" dimensionUniqueName="[Enrollment_Data_2023_2026]" displayFolder="" count="0" memberValueDatatype="7" unbalanced="0"/>
    <cacheHierarchy uniqueName="[Enrollment_Data_2023_2026].[Fill-Up_Date]" caption="Fill-Up_Date" attribute="1" time="1" defaultMemberUniqueName="[Enrollment_Data_2023_2026].[Fill-Up_Date].[All]" allUniqueName="[Enrollment_Data_2023_2026].[Fill-Up_Date].[All]" dimensionUniqueName="[Enrollment_Data_2023_2026]" displayFolder="" count="0" memberValueDatatype="7" unbalanced="0"/>
    <cacheHierarchy uniqueName="[Enrollment_Data_2023_2026].[Enrolled_Date]" caption="Enrolled_Date" attribute="1" time="1" defaultMemberUniqueName="[Enrollment_Data_2023_2026].[Enrolled_Date].[All]" allUniqueName="[Enrollment_Data_2023_2026].[Enrolled_Date].[All]" dimensionUniqueName="[Enrollment_Data_2023_2026]" displayFolder="" count="0" memberValueDatatype="7" unbalanced="0"/>
    <cacheHierarchy uniqueName="[Enrollment_Data_2023_2026].[First_Follow-Up_Date]" caption="First_Follow-Up_Date" attribute="1" time="1" defaultMemberUniqueName="[Enrollment_Data_2023_2026].[First_Follow-Up_Date].[All]" allUniqueName="[Enrollment_Data_2023_2026].[First_Follow-Up_Date].[All]" dimensionUniqueName="[Enrollment_Data_2023_2026]" displayFolder="" count="0" memberValueDatatype="7" unbalanced="0"/>
    <cacheHierarchy uniqueName="[Enrollment_Data_2023_2026].[Second_Follow-Up_Date]" caption="Second_Follow-Up_Date" attribute="1" time="1" defaultMemberUniqueName="[Enrollment_Data_2023_2026].[Second_Follow-Up_Date].[All]" allUniqueName="[Enrollment_Data_2023_2026].[Second_Follow-Up_Date].[All]" dimensionUniqueName="[Enrollment_Data_2023_2026]" displayFolder="" count="0" memberValueDatatype="7" unbalanced="0"/>
    <cacheHierarchy uniqueName="[Enrollment_Data_2023_2026].[Status]" caption="Status" attribute="1" defaultMemberUniqueName="[Enrollment_Data_2023_2026].[Status].[All]" allUniqueName="[Enrollment_Data_2023_2026].[Status].[All]" dimensionUniqueName="[Enrollment_Data_2023_2026]" displayFolder="" count="0" memberValueDatatype="130" unbalanced="0"/>
    <cacheHierarchy uniqueName="[Enrollment_Data_2023_2026].[Days_Inquiry_to_Fill]" caption="Days_Inquiry_to_Fill" attribute="1" defaultMemberUniqueName="[Enrollment_Data_2023_2026].[Days_Inquiry_to_Fill].[All]" allUniqueName="[Enrollment_Data_2023_2026].[Days_Inquiry_to_Fill].[All]" dimensionUniqueName="[Enrollment_Data_2023_2026]" displayFolder="" count="0" memberValueDatatype="20" unbalanced="0"/>
    <cacheHierarchy uniqueName="[Enrollment_Data_2023_2026].[Days_Inquiry_to_Enroll]" caption="Days_Inquiry_to_Enroll" attribute="1" defaultMemberUniqueName="[Enrollment_Data_2023_2026].[Days_Inquiry_to_Enroll].[All]" allUniqueName="[Enrollment_Data_2023_2026].[Days_Inquiry_to_Enroll].[All]" dimensionUniqueName="[Enrollment_Data_2023_2026]" displayFolder="" count="0" memberValueDatatype="20" unbalanced="0"/>
    <cacheHierarchy uniqueName="[Enrollment_Data_2023_2026].[Column12]" caption="Column12" attribute="1" defaultMemberUniqueName="[Enrollment_Data_2023_2026].[Column12].[All]" allUniqueName="[Enrollment_Data_2023_2026].[Column12].[All]" dimensionUniqueName="[Enrollment_Data_2023_2026]" displayFolder="" count="0" memberValueDatatype="130" unbalanced="0"/>
    <cacheHierarchy uniqueName="[Enrollment_Data_2023_2026].[Column13]" caption="Column13" attribute="1" defaultMemberUniqueName="[Enrollment_Data_2023_2026].[Column13].[All]" allUniqueName="[Enrollment_Data_2023_2026].[Column13].[All]" dimensionUniqueName="[Enrollment_Data_2023_2026]" displayFolder="" count="0" memberValueDatatype="130" unbalanced="0"/>
    <cacheHierarchy uniqueName="[Enrollment_Data_2023_2026].[Fill-Up_Date (Year)]" caption="Fill-Up_Date (Year)" attribute="1" defaultMemberUniqueName="[Enrollment_Data_2023_2026].[Fill-Up_Date (Year)].[All]" allUniqueName="[Enrollment_Data_2023_2026].[Fill-Up_Date (Year)].[All]" dimensionUniqueName="[Enrollment_Data_2023_2026]" displayFolder="" count="0" memberValueDatatype="130" unbalanced="0"/>
    <cacheHierarchy uniqueName="[Enrollment_Data_2023_2026].[Fill-Up_Date (Quarter)]" caption="Fill-Up_Date (Quarter)" attribute="1" defaultMemberUniqueName="[Enrollment_Data_2023_2026].[Fill-Up_Date (Quarter)].[All]" allUniqueName="[Enrollment_Data_2023_2026].[Fill-Up_Date (Quarter)].[All]" dimensionUniqueName="[Enrollment_Data_2023_2026]" displayFolder="" count="0" memberValueDatatype="130" unbalanced="0"/>
    <cacheHierarchy uniqueName="[Enrollment_Data_2023_2026].[Fill-Up_Date (Month)]" caption="Fill-Up_Date (Month)" attribute="1" defaultMemberUniqueName="[Enrollment_Data_2023_2026].[Fill-Up_Date (Month)].[All]" allUniqueName="[Enrollment_Data_2023_2026].[Fill-Up_Date (Month)].[All]" dimensionUniqueName="[Enrollment_Data_2023_2026]" displayFolder="" count="0" memberValueDatatype="130" unbalanced="0"/>
    <cacheHierarchy uniqueName="[Enrollment_Data_2023_2026].[First_Inquire_Date (Year)]" caption="First_Inquire_Date (Year)" attribute="1" defaultMemberUniqueName="[Enrollment_Data_2023_2026].[First_Inquire_Date (Year)].[All]" allUniqueName="[Enrollment_Data_2023_2026].[First_Inquire_Date (Year)].[All]" dimensionUniqueName="[Enrollment_Data_2023_2026]" displayFolder="" count="0" memberValueDatatype="130" unbalanced="0"/>
    <cacheHierarchy uniqueName="[Enrollment_Data_2023_2026].[First_Inquire_Date (Quarter)]" caption="First_Inquire_Date (Quarter)" attribute="1" defaultMemberUniqueName="[Enrollment_Data_2023_2026].[First_Inquire_Date (Quarter)].[All]" allUniqueName="[Enrollment_Data_2023_2026].[First_Inquire_Date (Quarter)].[All]" dimensionUniqueName="[Enrollment_Data_2023_2026]" displayFolder="" count="0" memberValueDatatype="130" unbalanced="0"/>
    <cacheHierarchy uniqueName="[Enrollment_Data_2023_2026].[First_Inquire_Date (Month)]" caption="First_Inquire_Date (Month)" attribute="1" defaultMemberUniqueName="[Enrollment_Data_2023_2026].[First_Inquire_Date (Month)].[All]" allUniqueName="[Enrollment_Data_2023_2026].[First_Inquire_Date (Month)].[All]" dimensionUniqueName="[Enrollment_Data_2023_2026]" displayFolder="" count="0" memberValueDatatype="130" unbalanced="0"/>
    <cacheHierarchy uniqueName="[Enrollment_Data_2023_2026].[Days Fill-Up to Enrolled]" caption="Days Fill-Up to Enrolled" attribute="1" defaultMemberUniqueName="[Enrollment_Data_2023_2026].[Days Fill-Up to Enrolled].[All]" allUniqueName="[Enrollment_Data_2023_2026].[Days Fill-Up to Enrolled].[All]" dimensionUniqueName="[Enrollment_Data_2023_2026]" displayFolder="" count="0" memberValueDatatype="20" unbalanced="0"/>
    <cacheHierarchy uniqueName="[Enrollment_Data_2023_2026].[First_Follow-Up_Date (Year)]" caption="First_Follow-Up_Date (Year)" attribute="1" defaultMemberUniqueName="[Enrollment_Data_2023_2026].[First_Follow-Up_Date (Year)].[All]" allUniqueName="[Enrollment_Data_2023_2026].[First_Follow-Up_Date (Year)].[All]" dimensionUniqueName="[Enrollment_Data_2023_2026]" displayFolder="" count="0" memberValueDatatype="130" unbalanced="0"/>
    <cacheHierarchy uniqueName="[Enrollment_Data_2023_2026].[First_Follow-Up_Date (Quarter)]" caption="First_Follow-Up_Date (Quarter)" attribute="1" defaultMemberUniqueName="[Enrollment_Data_2023_2026].[First_Follow-Up_Date (Quarter)].[All]" allUniqueName="[Enrollment_Data_2023_2026].[First_Follow-Up_Date (Quarter)].[All]" dimensionUniqueName="[Enrollment_Data_2023_2026]" displayFolder="" count="0" memberValueDatatype="130" unbalanced="0"/>
    <cacheHierarchy uniqueName="[Enrollment_Data_2023_2026].[First_Follow-Up_Date (Month)]" caption="First_Follow-Up_Date (Month)" attribute="1" defaultMemberUniqueName="[Enrollment_Data_2023_2026].[First_Follow-Up_Date (Month)].[All]" allUniqueName="[Enrollment_Data_2023_2026].[First_Follow-Up_Date (Month)].[All]" dimensionUniqueName="[Enrollment_Data_2023_2026]" displayFolder="" count="0" memberValueDatatype="130" unbalanced="0"/>
    <cacheHierarchy uniqueName="[Enrollment_Data_2023_2026].[Fill-Up_Date (Month Index)]" caption="Fill-Up_Date (Month Index)" attribute="1" defaultMemberUniqueName="[Enrollment_Data_2023_2026].[Fill-Up_Date (Month Index)].[All]" allUniqueName="[Enrollment_Data_2023_2026].[Fill-Up_Date (Month Index)].[All]" dimensionUniqueName="[Enrollment_Data_2023_2026]" displayFolder="" count="0" memberValueDatatype="20" unbalanced="0" hidden="1"/>
    <cacheHierarchy uniqueName="[Enrollment_Data_2023_2026].[First_Follow-Up_Date (Month Index)]" caption="First_Follow-Up_Date (Month Index)" attribute="1" defaultMemberUniqueName="[Enrollment_Data_2023_2026].[First_Follow-Up_Date (Month Index)].[All]" allUniqueName="[Enrollment_Data_2023_2026].[First_Follow-Up_Date (Month Index)].[All]" dimensionUniqueName="[Enrollment_Data_2023_2026]" displayFolder="" count="0" memberValueDatatype="20" unbalanced="0" hidden="1"/>
    <cacheHierarchy uniqueName="[Enrollment_Data_2023_2026].[First_Inquire_Date (Month Index)]" caption="First_Inquire_Date (Month Index)" attribute="1" defaultMemberUniqueName="[Enrollment_Data_2023_2026].[First_Inquire_Date (Month Index)].[All]" allUniqueName="[Enrollment_Data_2023_2026].[First_Inquire_Date (Month Index)].[All]" dimensionUniqueName="[Enrollment_Data_2023_2026]" displayFolder="" count="0" memberValueDatatype="20" unbalanced="0" hidden="1"/>
    <cacheHierarchy uniqueName="[Measures].[Avg._day_inquire_to_fill-up]" caption="Avg._day_inquire_to_fill-up" measure="1" displayFolder="" measureGroup="Calculation" count="0" oneField="1">
      <fieldsUsage count="1">
        <fieldUsage x="4"/>
      </fieldsUsage>
    </cacheHierarchy>
    <cacheHierarchy uniqueName="[Measures].[Avg._day_Inquire_to_Enrolled]" caption="Avg._day_Inquire_to_Enrolled" measure="1" displayFolder="" measureGroup="Calculation" count="0" oneField="1">
      <fieldsUsage count="1">
        <fieldUsage x="5"/>
      </fieldsUsage>
    </cacheHierarchy>
    <cacheHierarchy uniqueName="[Measures].[Avg._Day_fill-up_to_enrolled]" caption="Avg._Day_fill-up_to_enrolled" measure="1" displayFolder="" measureGroup="Calculation" count="0" oneField="1">
      <fieldsUsage count="1">
        <fieldUsage x="6"/>
      </fieldsUsage>
    </cacheHierarchy>
    <cacheHierarchy uniqueName="[Measures].[First Follow-up (Enrolled)]" caption="First Follow-up (Enrolled)" measure="1" displayFolder="" measureGroup="Calculation" count="0" oneField="1">
      <fieldsUsage count="1">
        <fieldUsage x="7"/>
      </fieldsUsage>
    </cacheHierarchy>
    <cacheHierarchy uniqueName="[Measures].[Second Follow up ( Enrolled)]" caption="Second Follow up ( Enrolled)" measure="1" displayFolder="" measureGroup="Calculation" count="0" oneField="1">
      <fieldsUsage count="1">
        <fieldUsage x="8"/>
      </fieldsUsage>
    </cacheHierarchy>
    <cacheHierarchy uniqueName="[Measures].[Enrolled W/O Follow up]" caption="Enrolled W/O Follow up" measure="1" displayFolder="" measureGroup="Calculation" count="0" oneField="1">
      <fieldsUsage count="1">
        <fieldUsage x="9"/>
      </fieldsUsage>
    </cacheHierarchy>
    <cacheHierarchy uniqueName="[Measures].[Total Enrolled]" caption="Total Enrolled" measure="1" displayFolder="" measureGroup="Calculation" count="0" oneField="1">
      <fieldsUsage count="1">
        <fieldUsage x="10"/>
      </fieldsUsage>
    </cacheHierarchy>
    <cacheHierarchy uniqueName="[Measures].[__XL_Count Enrollment_Data_2023_2026]" caption="__XL_Count Enrollment_Data_2023_2026" measure="1" displayFolder="" measureGroup="Enrollment_Data_2023_2026" count="0" hidden="1"/>
    <cacheHierarchy uniqueName="[Measures].[__XL_Count Date]" caption="__XL_Count Date" measure="1" displayFolder="" measureGroup="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Count of Fill-Up_Date]" caption="Count of Fill-Up_Date" measure="1" displayFolder="" measureGroup="Enrollment_Data_2023_2026"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Enrolled_Date]" caption="Count of Enrolled_Date" measure="1" displayFolder="" measureGroup="Enrollment_Data_2023_2026"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First_Inquire_Date]" caption="Count of First_Inquire_Date" measure="1" displayFolder="" measureGroup="Enrollment_Data_2023_2026"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Days_Inquiry_to_Fill]" caption="Sum of Days_Inquiry_to_Fill" measure="1" displayFolder="" measureGroup="Enrollment_Data_2023_2026" count="0" hidden="1">
      <extLst>
        <ext xmlns:x15="http://schemas.microsoft.com/office/spreadsheetml/2010/11/main" uri="{B97F6D7D-B522-45F9-BDA1-12C45D357490}">
          <x15:cacheHierarchy aggregatedColumn="17"/>
        </ext>
      </extLst>
    </cacheHierarchy>
    <cacheHierarchy uniqueName="[Measures].[Average of Days_Inquiry_to_Fill]" caption="Average of Days_Inquiry_to_Fill" measure="1" displayFolder="" measureGroup="Enrollment_Data_2023_2026" count="0" hidden="1">
      <extLst>
        <ext xmlns:x15="http://schemas.microsoft.com/office/spreadsheetml/2010/11/main" uri="{B97F6D7D-B522-45F9-BDA1-12C45D357490}">
          <x15:cacheHierarchy aggregatedColumn="17"/>
        </ext>
      </extLst>
    </cacheHierarchy>
    <cacheHierarchy uniqueName="[Measures].[Count of First_Follow-Up_Date]" caption="Count of First_Follow-Up_Date" measure="1" displayFolder="" measureGroup="Enrollment_Data_2023_2026" count="0" hidden="1">
      <extLst>
        <ext xmlns:x15="http://schemas.microsoft.com/office/spreadsheetml/2010/11/main" uri="{B97F6D7D-B522-45F9-BDA1-12C45D357490}">
          <x15:cacheHierarchy aggregatedColumn="14"/>
        </ext>
      </extLst>
    </cacheHierarchy>
    <cacheHierarchy uniqueName="[Measures].[Count of Second_Follow-Up_Date]" caption="Count of Second_Follow-Up_Date" measure="1" displayFolder="" measureGroup="Enrollment_Data_2023_2026"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Enrollment_Data_2023_2026" count="0" hidden="1">
      <extLst>
        <ext xmlns:x15="http://schemas.microsoft.com/office/spreadsheetml/2010/11/main" uri="{B97F6D7D-B522-45F9-BDA1-12C45D357490}">
          <x15:cacheHierarchy aggregatedColumn="8"/>
        </ext>
      </extLst>
    </cacheHierarchy>
  </cacheHierarchies>
  <kpis count="0"/>
  <dimensions count="4">
    <dimension name="Calculation" uniqueName="[Calculation]" caption="Calculation"/>
    <dimension name="Date" uniqueName="[Date]" caption="Date"/>
    <dimension name="Enrollment_Data_2023_2026" uniqueName="[Enrollment_Data_2023_2026]" caption="Enrollment_Data_2023_2026"/>
    <dimension measure="1" name="Measures" uniqueName="[Measures]" caption="Measures"/>
  </dimensions>
  <measureGroups count="3">
    <measureGroup name="Calculation" caption="Calculation"/>
    <measureGroup name="Date" caption="Date"/>
    <measureGroup name="Enrollment_Data_2023_2026" caption="Enrollment_Data_2023_2026"/>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30.910199305552" backgroundQuery="1" createdVersion="8" refreshedVersion="8" minRefreshableVersion="3" recordCount="0" supportSubquery="1" supportAdvancedDrill="1" xr:uid="{C2AC81C7-CEFC-4ADF-A756-D02E20466E76}">
  <cacheSource type="external" connectionId="4"/>
  <cacheFields count="3">
    <cacheField name="[Date].[Day_name].[Day_name]" caption="Day_name" numFmtId="0" hierarchy="6" level="1">
      <sharedItems count="7">
        <s v="Sun"/>
        <s v="Mon"/>
        <s v="Tue"/>
        <s v="Wed"/>
        <s v="Thu"/>
        <s v="Fri"/>
        <s v="Sat"/>
      </sharedItems>
    </cacheField>
    <cacheField name="[Measures].[Count of First_Inquire_Date]" caption="Count of First_Inquire_Date" numFmtId="0" hierarchy="47" level="32767"/>
    <cacheField name="[Date].[Year].[Year]" caption="Year" numFmtId="0" hierarchy="2" level="1">
      <sharedItems containsSemiMixedTypes="0" containsNonDate="0" containsString="0"/>
    </cacheField>
  </cacheFields>
  <cacheHierarchies count="53">
    <cacheHierarchy uniqueName="[Calculation].[Measures]" caption="Measures" attribute="1" defaultMemberUniqueName="[Calculation].[Measures].[All]" allUniqueName="[Calculation].[Measures].[All]" dimensionUniqueName="[Calculation]" displayFolder="" count="0" memberValueDatatype="130" unbalanced="0"/>
    <cacheHierarchy uniqueName="[Date].[First_Inquire_Date]" caption="First_Inquire_Date" attribute="1" time="1" defaultMemberUniqueName="[Date].[First_Inquire_Date].[All]" allUniqueName="[Date].[First_Inquire_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2"/>
      </fieldsUsage>
    </cacheHierarchy>
    <cacheHierarchy uniqueName="[Date].[Month]" caption="Month" attribute="1" defaultMemberUniqueName="[Date].[Month].[All]" allUniqueName="[Date].[Month].[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Day_name]" caption="Day_name" attribute="1" defaultMemberUniqueName="[Date].[Day_name].[All]" allUniqueName="[Date].[Day_name].[All]" dimensionUniqueName="[Date]" displayFolder="" count="2" memberValueDatatype="130" unbalanced="0">
      <fieldsUsage count="2">
        <fieldUsage x="-1"/>
        <fieldUsage x="0"/>
      </fieldsUsage>
    </cacheHierarchy>
    <cacheHierarchy uniqueName="[Date].[Weektype]" caption="Weektype" attribute="1" defaultMemberUniqueName="[Date].[Weektype].[All]" allUniqueName="[Date].[Weektype].[All]" dimensionUniqueName="[Date]" displayFolder="" count="0" memberValueDatatype="130" unbalanced="0"/>
    <cacheHierarchy uniqueName="[Enrollment_Data_2023_2026].[Name]" caption="Name" attribute="1" defaultMemberUniqueName="[Enrollment_Data_2023_2026].[Name].[All]" allUniqueName="[Enrollment_Data_2023_2026].[Name].[All]" dimensionUniqueName="[Enrollment_Data_2023_2026]" displayFolder="" count="0" memberValueDatatype="130" unbalanced="0"/>
    <cacheHierarchy uniqueName="[Enrollment_Data_2023_2026].[Student_Level]" caption="Student_Level" attribute="1" defaultMemberUniqueName="[Enrollment_Data_2023_2026].[Student_Level].[All]" allUniqueName="[Enrollment_Data_2023_2026].[Student_Level].[All]" dimensionUniqueName="[Enrollment_Data_2023_2026]" displayFolder="" count="0" memberValueDatatype="130" unbalanced="0"/>
    <cacheHierarchy uniqueName="[Enrollment_Data_2023_2026].[Channel]" caption="Channel" attribute="1" defaultMemberUniqueName="[Enrollment_Data_2023_2026].[Channel].[All]" allUniqueName="[Enrollment_Data_2023_2026].[Channel].[All]" dimensionUniqueName="[Enrollment_Data_2023_2026]" displayFolder="" count="0" memberValueDatatype="130" unbalanced="0"/>
    <cacheHierarchy uniqueName="[Enrollment_Data_2023_2026].[First_Inquire_Date]" caption="First_Inquire_Date" attribute="1" time="1" defaultMemberUniqueName="[Enrollment_Data_2023_2026].[First_Inquire_Date].[All]" allUniqueName="[Enrollment_Data_2023_2026].[First_Inquire_Date].[All]" dimensionUniqueName="[Enrollment_Data_2023_2026]" displayFolder="" count="0" memberValueDatatype="7" unbalanced="0"/>
    <cacheHierarchy uniqueName="[Enrollment_Data_2023_2026].[Fill-Up_Date]" caption="Fill-Up_Date" attribute="1" time="1" defaultMemberUniqueName="[Enrollment_Data_2023_2026].[Fill-Up_Date].[All]" allUniqueName="[Enrollment_Data_2023_2026].[Fill-Up_Date].[All]" dimensionUniqueName="[Enrollment_Data_2023_2026]" displayFolder="" count="0" memberValueDatatype="7" unbalanced="0"/>
    <cacheHierarchy uniqueName="[Enrollment_Data_2023_2026].[Enrolled_Date]" caption="Enrolled_Date" attribute="1" time="1" defaultMemberUniqueName="[Enrollment_Data_2023_2026].[Enrolled_Date].[All]" allUniqueName="[Enrollment_Data_2023_2026].[Enrolled_Date].[All]" dimensionUniqueName="[Enrollment_Data_2023_2026]" displayFolder="" count="0" memberValueDatatype="7" unbalanced="0"/>
    <cacheHierarchy uniqueName="[Enrollment_Data_2023_2026].[First_Follow-Up_Date]" caption="First_Follow-Up_Date" attribute="1" time="1" defaultMemberUniqueName="[Enrollment_Data_2023_2026].[First_Follow-Up_Date].[All]" allUniqueName="[Enrollment_Data_2023_2026].[First_Follow-Up_Date].[All]" dimensionUniqueName="[Enrollment_Data_2023_2026]" displayFolder="" count="0" memberValueDatatype="7" unbalanced="0"/>
    <cacheHierarchy uniqueName="[Enrollment_Data_2023_2026].[Second_Follow-Up_Date]" caption="Second_Follow-Up_Date" attribute="1" time="1" defaultMemberUniqueName="[Enrollment_Data_2023_2026].[Second_Follow-Up_Date].[All]" allUniqueName="[Enrollment_Data_2023_2026].[Second_Follow-Up_Date].[All]" dimensionUniqueName="[Enrollment_Data_2023_2026]" displayFolder="" count="0" memberValueDatatype="7" unbalanced="0"/>
    <cacheHierarchy uniqueName="[Enrollment_Data_2023_2026].[Status]" caption="Status" attribute="1" defaultMemberUniqueName="[Enrollment_Data_2023_2026].[Status].[All]" allUniqueName="[Enrollment_Data_2023_2026].[Status].[All]" dimensionUniqueName="[Enrollment_Data_2023_2026]" displayFolder="" count="0" memberValueDatatype="130" unbalanced="0"/>
    <cacheHierarchy uniqueName="[Enrollment_Data_2023_2026].[Days_Inquiry_to_Fill]" caption="Days_Inquiry_to_Fill" attribute="1" defaultMemberUniqueName="[Enrollment_Data_2023_2026].[Days_Inquiry_to_Fill].[All]" allUniqueName="[Enrollment_Data_2023_2026].[Days_Inquiry_to_Fill].[All]" dimensionUniqueName="[Enrollment_Data_2023_2026]" displayFolder="" count="0" memberValueDatatype="20" unbalanced="0"/>
    <cacheHierarchy uniqueName="[Enrollment_Data_2023_2026].[Days_Inquiry_to_Enroll]" caption="Days_Inquiry_to_Enroll" attribute="1" defaultMemberUniqueName="[Enrollment_Data_2023_2026].[Days_Inquiry_to_Enroll].[All]" allUniqueName="[Enrollment_Data_2023_2026].[Days_Inquiry_to_Enroll].[All]" dimensionUniqueName="[Enrollment_Data_2023_2026]" displayFolder="" count="0" memberValueDatatype="20" unbalanced="0"/>
    <cacheHierarchy uniqueName="[Enrollment_Data_2023_2026].[Column12]" caption="Column12" attribute="1" defaultMemberUniqueName="[Enrollment_Data_2023_2026].[Column12].[All]" allUniqueName="[Enrollment_Data_2023_2026].[Column12].[All]" dimensionUniqueName="[Enrollment_Data_2023_2026]" displayFolder="" count="0" memberValueDatatype="130" unbalanced="0"/>
    <cacheHierarchy uniqueName="[Enrollment_Data_2023_2026].[Column13]" caption="Column13" attribute="1" defaultMemberUniqueName="[Enrollment_Data_2023_2026].[Column13].[All]" allUniqueName="[Enrollment_Data_2023_2026].[Column13].[All]" dimensionUniqueName="[Enrollment_Data_2023_2026]" displayFolder="" count="0" memberValueDatatype="130" unbalanced="0"/>
    <cacheHierarchy uniqueName="[Enrollment_Data_2023_2026].[Fill-Up_Date (Year)]" caption="Fill-Up_Date (Year)" attribute="1" defaultMemberUniqueName="[Enrollment_Data_2023_2026].[Fill-Up_Date (Year)].[All]" allUniqueName="[Enrollment_Data_2023_2026].[Fill-Up_Date (Year)].[All]" dimensionUniqueName="[Enrollment_Data_2023_2026]" displayFolder="" count="0" memberValueDatatype="130" unbalanced="0"/>
    <cacheHierarchy uniqueName="[Enrollment_Data_2023_2026].[Fill-Up_Date (Quarter)]" caption="Fill-Up_Date (Quarter)" attribute="1" defaultMemberUniqueName="[Enrollment_Data_2023_2026].[Fill-Up_Date (Quarter)].[All]" allUniqueName="[Enrollment_Data_2023_2026].[Fill-Up_Date (Quarter)].[All]" dimensionUniqueName="[Enrollment_Data_2023_2026]" displayFolder="" count="0" memberValueDatatype="130" unbalanced="0"/>
    <cacheHierarchy uniqueName="[Enrollment_Data_2023_2026].[Fill-Up_Date (Month)]" caption="Fill-Up_Date (Month)" attribute="1" defaultMemberUniqueName="[Enrollment_Data_2023_2026].[Fill-Up_Date (Month)].[All]" allUniqueName="[Enrollment_Data_2023_2026].[Fill-Up_Date (Month)].[All]" dimensionUniqueName="[Enrollment_Data_2023_2026]" displayFolder="" count="0" memberValueDatatype="130" unbalanced="0"/>
    <cacheHierarchy uniqueName="[Enrollment_Data_2023_2026].[First_Inquire_Date (Year)]" caption="First_Inquire_Date (Year)" attribute="1" defaultMemberUniqueName="[Enrollment_Data_2023_2026].[First_Inquire_Date (Year)].[All]" allUniqueName="[Enrollment_Data_2023_2026].[First_Inquire_Date (Year)].[All]" dimensionUniqueName="[Enrollment_Data_2023_2026]" displayFolder="" count="0" memberValueDatatype="130" unbalanced="0"/>
    <cacheHierarchy uniqueName="[Enrollment_Data_2023_2026].[First_Inquire_Date (Quarter)]" caption="First_Inquire_Date (Quarter)" attribute="1" defaultMemberUniqueName="[Enrollment_Data_2023_2026].[First_Inquire_Date (Quarter)].[All]" allUniqueName="[Enrollment_Data_2023_2026].[First_Inquire_Date (Quarter)].[All]" dimensionUniqueName="[Enrollment_Data_2023_2026]" displayFolder="" count="0" memberValueDatatype="130" unbalanced="0"/>
    <cacheHierarchy uniqueName="[Enrollment_Data_2023_2026].[First_Inquire_Date (Month)]" caption="First_Inquire_Date (Month)" attribute="1" defaultMemberUniqueName="[Enrollment_Data_2023_2026].[First_Inquire_Date (Month)].[All]" allUniqueName="[Enrollment_Data_2023_2026].[First_Inquire_Date (Month)].[All]" dimensionUniqueName="[Enrollment_Data_2023_2026]" displayFolder="" count="0" memberValueDatatype="130" unbalanced="0"/>
    <cacheHierarchy uniqueName="[Enrollment_Data_2023_2026].[Days Fill-Up to Enrolled]" caption="Days Fill-Up to Enrolled" attribute="1" defaultMemberUniqueName="[Enrollment_Data_2023_2026].[Days Fill-Up to Enrolled].[All]" allUniqueName="[Enrollment_Data_2023_2026].[Days Fill-Up to Enrolled].[All]" dimensionUniqueName="[Enrollment_Data_2023_2026]" displayFolder="" count="0" memberValueDatatype="20" unbalanced="0"/>
    <cacheHierarchy uniqueName="[Enrollment_Data_2023_2026].[First_Follow-Up_Date (Year)]" caption="First_Follow-Up_Date (Year)" attribute="1" defaultMemberUniqueName="[Enrollment_Data_2023_2026].[First_Follow-Up_Date (Year)].[All]" allUniqueName="[Enrollment_Data_2023_2026].[First_Follow-Up_Date (Year)].[All]" dimensionUniqueName="[Enrollment_Data_2023_2026]" displayFolder="" count="0" memberValueDatatype="130" unbalanced="0"/>
    <cacheHierarchy uniqueName="[Enrollment_Data_2023_2026].[First_Follow-Up_Date (Quarter)]" caption="First_Follow-Up_Date (Quarter)" attribute="1" defaultMemberUniqueName="[Enrollment_Data_2023_2026].[First_Follow-Up_Date (Quarter)].[All]" allUniqueName="[Enrollment_Data_2023_2026].[First_Follow-Up_Date (Quarter)].[All]" dimensionUniqueName="[Enrollment_Data_2023_2026]" displayFolder="" count="0" memberValueDatatype="130" unbalanced="0"/>
    <cacheHierarchy uniqueName="[Enrollment_Data_2023_2026].[First_Follow-Up_Date (Month)]" caption="First_Follow-Up_Date (Month)" attribute="1" defaultMemberUniqueName="[Enrollment_Data_2023_2026].[First_Follow-Up_Date (Month)].[All]" allUniqueName="[Enrollment_Data_2023_2026].[First_Follow-Up_Date (Month)].[All]" dimensionUniqueName="[Enrollment_Data_2023_2026]" displayFolder="" count="0" memberValueDatatype="130" unbalanced="0"/>
    <cacheHierarchy uniqueName="[Enrollment_Data_2023_2026].[Fill-Up_Date (Month Index)]" caption="Fill-Up_Date (Month Index)" attribute="1" defaultMemberUniqueName="[Enrollment_Data_2023_2026].[Fill-Up_Date (Month Index)].[All]" allUniqueName="[Enrollment_Data_2023_2026].[Fill-Up_Date (Month Index)].[All]" dimensionUniqueName="[Enrollment_Data_2023_2026]" displayFolder="" count="0" memberValueDatatype="20" unbalanced="0" hidden="1"/>
    <cacheHierarchy uniqueName="[Enrollment_Data_2023_2026].[First_Follow-Up_Date (Month Index)]" caption="First_Follow-Up_Date (Month Index)" attribute="1" defaultMemberUniqueName="[Enrollment_Data_2023_2026].[First_Follow-Up_Date (Month Index)].[All]" allUniqueName="[Enrollment_Data_2023_2026].[First_Follow-Up_Date (Month Index)].[All]" dimensionUniqueName="[Enrollment_Data_2023_2026]" displayFolder="" count="0" memberValueDatatype="20" unbalanced="0" hidden="1"/>
    <cacheHierarchy uniqueName="[Enrollment_Data_2023_2026].[First_Inquire_Date (Month Index)]" caption="First_Inquire_Date (Month Index)" attribute="1" defaultMemberUniqueName="[Enrollment_Data_2023_2026].[First_Inquire_Date (Month Index)].[All]" allUniqueName="[Enrollment_Data_2023_2026].[First_Inquire_Date (Month Index)].[All]" dimensionUniqueName="[Enrollment_Data_2023_2026]" displayFolder="" count="0" memberValueDatatype="20" unbalanced="0" hidden="1"/>
    <cacheHierarchy uniqueName="[Measures].[Avg._day_inquire_to_fill-up]" caption="Avg._day_inquire_to_fill-up" measure="1" displayFolder="" measureGroup="Calculation" count="0"/>
    <cacheHierarchy uniqueName="[Measures].[Avg._day_Inquire_to_Enrolled]" caption="Avg._day_Inquire_to_Enrolled" measure="1" displayFolder="" measureGroup="Calculation" count="0"/>
    <cacheHierarchy uniqueName="[Measures].[Avg._Day_fill-up_to_enrolled]" caption="Avg._Day_fill-up_to_enrolled" measure="1" displayFolder="" measureGroup="Calculation" count="0"/>
    <cacheHierarchy uniqueName="[Measures].[First Follow-up (Enrolled)]" caption="First Follow-up (Enrolled)" measure="1" displayFolder="" measureGroup="Calculation" count="0"/>
    <cacheHierarchy uniqueName="[Measures].[Second Follow up ( Enrolled)]" caption="Second Follow up ( Enrolled)" measure="1" displayFolder="" measureGroup="Calculation" count="0"/>
    <cacheHierarchy uniqueName="[Measures].[Enrolled W/O Follow up]" caption="Enrolled W/O Follow up" measure="1" displayFolder="" measureGroup="Calculation" count="0"/>
    <cacheHierarchy uniqueName="[Measures].[Total Enrolled]" caption="Total Enrolled" measure="1" displayFolder="" measureGroup="Calculation" count="0"/>
    <cacheHierarchy uniqueName="[Measures].[__XL_Count Enrollment_Data_2023_2026]" caption="__XL_Count Enrollment_Data_2023_2026" measure="1" displayFolder="" measureGroup="Enrollment_Data_2023_2026" count="0" hidden="1"/>
    <cacheHierarchy uniqueName="[Measures].[__XL_Count Date]" caption="__XL_Count Date" measure="1" displayFolder="" measureGroup="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Count of Fill-Up_Date]" caption="Count of Fill-Up_Date" measure="1" displayFolder="" measureGroup="Enrollment_Data_2023_2026" count="0" hidden="1">
      <extLst>
        <ext xmlns:x15="http://schemas.microsoft.com/office/spreadsheetml/2010/11/main" uri="{B97F6D7D-B522-45F9-BDA1-12C45D357490}">
          <x15:cacheHierarchy aggregatedColumn="12"/>
        </ext>
      </extLst>
    </cacheHierarchy>
    <cacheHierarchy uniqueName="[Measures].[Count of Enrolled_Date]" caption="Count of Enrolled_Date" measure="1" displayFolder="" measureGroup="Enrollment_Data_2023_2026" count="0" hidden="1">
      <extLst>
        <ext xmlns:x15="http://schemas.microsoft.com/office/spreadsheetml/2010/11/main" uri="{B97F6D7D-B522-45F9-BDA1-12C45D357490}">
          <x15:cacheHierarchy aggregatedColumn="13"/>
        </ext>
      </extLst>
    </cacheHierarchy>
    <cacheHierarchy uniqueName="[Measures].[Count of First_Inquire_Date]" caption="Count of First_Inquire_Date" measure="1" displayFolder="" measureGroup="Enrollment_Data_2023_2026"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Days_Inquiry_to_Fill]" caption="Sum of Days_Inquiry_to_Fill" measure="1" displayFolder="" measureGroup="Enrollment_Data_2023_2026" count="0" hidden="1">
      <extLst>
        <ext xmlns:x15="http://schemas.microsoft.com/office/spreadsheetml/2010/11/main" uri="{B97F6D7D-B522-45F9-BDA1-12C45D357490}">
          <x15:cacheHierarchy aggregatedColumn="17"/>
        </ext>
      </extLst>
    </cacheHierarchy>
    <cacheHierarchy uniqueName="[Measures].[Average of Days_Inquiry_to_Fill]" caption="Average of Days_Inquiry_to_Fill" measure="1" displayFolder="" measureGroup="Enrollment_Data_2023_2026" count="0" hidden="1">
      <extLst>
        <ext xmlns:x15="http://schemas.microsoft.com/office/spreadsheetml/2010/11/main" uri="{B97F6D7D-B522-45F9-BDA1-12C45D357490}">
          <x15:cacheHierarchy aggregatedColumn="17"/>
        </ext>
      </extLst>
    </cacheHierarchy>
    <cacheHierarchy uniqueName="[Measures].[Count of First_Follow-Up_Date]" caption="Count of First_Follow-Up_Date" measure="1" displayFolder="" measureGroup="Enrollment_Data_2023_2026" count="0" hidden="1">
      <extLst>
        <ext xmlns:x15="http://schemas.microsoft.com/office/spreadsheetml/2010/11/main" uri="{B97F6D7D-B522-45F9-BDA1-12C45D357490}">
          <x15:cacheHierarchy aggregatedColumn="14"/>
        </ext>
      </extLst>
    </cacheHierarchy>
    <cacheHierarchy uniqueName="[Measures].[Count of Second_Follow-Up_Date]" caption="Count of Second_Follow-Up_Date" measure="1" displayFolder="" measureGroup="Enrollment_Data_2023_2026"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Enrollment_Data_2023_2026" count="0" hidden="1">
      <extLst>
        <ext xmlns:x15="http://schemas.microsoft.com/office/spreadsheetml/2010/11/main" uri="{B97F6D7D-B522-45F9-BDA1-12C45D357490}">
          <x15:cacheHierarchy aggregatedColumn="8"/>
        </ext>
      </extLst>
    </cacheHierarchy>
  </cacheHierarchies>
  <kpis count="0"/>
  <dimensions count="4">
    <dimension name="Calculation" uniqueName="[Calculation]" caption="Calculation"/>
    <dimension name="Date" uniqueName="[Date]" caption="Date"/>
    <dimension name="Enrollment_Data_2023_2026" uniqueName="[Enrollment_Data_2023_2026]" caption="Enrollment_Data_2023_2026"/>
    <dimension measure="1" name="Measures" uniqueName="[Measures]" caption="Measures"/>
  </dimensions>
  <measureGroups count="3">
    <measureGroup name="Calculation" caption="Calculation"/>
    <measureGroup name="Date" caption="Date"/>
    <measureGroup name="Enrollment_Data_2023_2026" caption="Enrollment_Data_2023_2026"/>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30.910199652775" backgroundQuery="1" createdVersion="8" refreshedVersion="8" minRefreshableVersion="3" recordCount="0" supportSubquery="1" supportAdvancedDrill="1" xr:uid="{C0749501-14A3-4D8E-868B-1183760A4C20}">
  <cacheSource type="external" connectionId="4"/>
  <cacheFields count="3">
    <cacheField name="[Measures].[Count of First_Inquire_Date]" caption="Count of First_Inquire_Date" numFmtId="0" hierarchy="47" level="32767"/>
    <cacheField name="[Date].[Year].[Year]" caption="Year" numFmtId="0" hierarchy="2" level="1">
      <sharedItems containsSemiMixedTypes="0" containsNonDate="0" containsString="0"/>
    </cacheField>
    <cacheField name="[Date].[Month_name].[Month_name]" caption="Month_name" numFmtId="0" hierarchy="4" level="1">
      <sharedItems count="12">
        <s v="Jan"/>
        <s v="Feb"/>
        <s v="Mar"/>
        <s v="Apr"/>
        <s v="May"/>
        <s v="Jun"/>
        <s v="Jul"/>
        <s v="Aug"/>
        <s v="Sep"/>
        <s v="Oct"/>
        <s v="Nov"/>
        <s v="Dec"/>
      </sharedItems>
    </cacheField>
  </cacheFields>
  <cacheHierarchies count="53">
    <cacheHierarchy uniqueName="[Calculation].[Measures]" caption="Measures" attribute="1" defaultMemberUniqueName="[Calculation].[Measures].[All]" allUniqueName="[Calculation].[Measures].[All]" dimensionUniqueName="[Calculation]" displayFolder="" count="0" memberValueDatatype="130" unbalanced="0"/>
    <cacheHierarchy uniqueName="[Date].[First_Inquire_Date]" caption="First_Inquire_Date" attribute="1" time="1" defaultMemberUniqueName="[Date].[First_Inquire_Date].[All]" allUniqueName="[Date].[First_Inquire_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1"/>
      </fieldsUsage>
    </cacheHierarchy>
    <cacheHierarchy uniqueName="[Date].[Month]" caption="Month" attribute="1" defaultMemberUniqueName="[Date].[Month].[All]" allUniqueName="[Date].[Month].[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fieldsUsage count="2">
        <fieldUsage x="-1"/>
        <fieldUsage x="2"/>
      </fieldsUsage>
    </cacheHierarchy>
    <cacheHierarchy uniqueName="[Date].[Day of Week]" caption="Day of Week" attribute="1" defaultMemberUniqueName="[Date].[Day of Week].[All]" allUniqueName="[Date].[Day of Week].[All]" dimensionUniqueName="[Date]" displayFolder="" count="0" memberValueDatatype="20" unbalanced="0"/>
    <cacheHierarchy uniqueName="[Date].[Day_name]" caption="Day_name" attribute="1" defaultMemberUniqueName="[Date].[Day_name].[All]" allUniqueName="[Date].[Day_name].[All]" dimensionUniqueName="[Date]" displayFolder="" count="0" memberValueDatatype="130" unbalanced="0"/>
    <cacheHierarchy uniqueName="[Date].[Weektype]" caption="Weektype" attribute="1" defaultMemberUniqueName="[Date].[Weektype].[All]" allUniqueName="[Date].[Weektype].[All]" dimensionUniqueName="[Date]" displayFolder="" count="0" memberValueDatatype="130" unbalanced="0"/>
    <cacheHierarchy uniqueName="[Enrollment_Data_2023_2026].[Name]" caption="Name" attribute="1" defaultMemberUniqueName="[Enrollment_Data_2023_2026].[Name].[All]" allUniqueName="[Enrollment_Data_2023_2026].[Name].[All]" dimensionUniqueName="[Enrollment_Data_2023_2026]" displayFolder="" count="0" memberValueDatatype="130" unbalanced="0"/>
    <cacheHierarchy uniqueName="[Enrollment_Data_2023_2026].[Student_Level]" caption="Student_Level" attribute="1" defaultMemberUniqueName="[Enrollment_Data_2023_2026].[Student_Level].[All]" allUniqueName="[Enrollment_Data_2023_2026].[Student_Level].[All]" dimensionUniqueName="[Enrollment_Data_2023_2026]" displayFolder="" count="0" memberValueDatatype="130" unbalanced="0"/>
    <cacheHierarchy uniqueName="[Enrollment_Data_2023_2026].[Channel]" caption="Channel" attribute="1" defaultMemberUniqueName="[Enrollment_Data_2023_2026].[Channel].[All]" allUniqueName="[Enrollment_Data_2023_2026].[Channel].[All]" dimensionUniqueName="[Enrollment_Data_2023_2026]" displayFolder="" count="0" memberValueDatatype="130" unbalanced="0"/>
    <cacheHierarchy uniqueName="[Enrollment_Data_2023_2026].[First_Inquire_Date]" caption="First_Inquire_Date" attribute="1" time="1" defaultMemberUniqueName="[Enrollment_Data_2023_2026].[First_Inquire_Date].[All]" allUniqueName="[Enrollment_Data_2023_2026].[First_Inquire_Date].[All]" dimensionUniqueName="[Enrollment_Data_2023_2026]" displayFolder="" count="0" memberValueDatatype="7" unbalanced="0"/>
    <cacheHierarchy uniqueName="[Enrollment_Data_2023_2026].[Fill-Up_Date]" caption="Fill-Up_Date" attribute="1" time="1" defaultMemberUniqueName="[Enrollment_Data_2023_2026].[Fill-Up_Date].[All]" allUniqueName="[Enrollment_Data_2023_2026].[Fill-Up_Date].[All]" dimensionUniqueName="[Enrollment_Data_2023_2026]" displayFolder="" count="0" memberValueDatatype="7" unbalanced="0"/>
    <cacheHierarchy uniqueName="[Enrollment_Data_2023_2026].[Enrolled_Date]" caption="Enrolled_Date" attribute="1" time="1" defaultMemberUniqueName="[Enrollment_Data_2023_2026].[Enrolled_Date].[All]" allUniqueName="[Enrollment_Data_2023_2026].[Enrolled_Date].[All]" dimensionUniqueName="[Enrollment_Data_2023_2026]" displayFolder="" count="0" memberValueDatatype="7" unbalanced="0"/>
    <cacheHierarchy uniqueName="[Enrollment_Data_2023_2026].[First_Follow-Up_Date]" caption="First_Follow-Up_Date" attribute="1" time="1" defaultMemberUniqueName="[Enrollment_Data_2023_2026].[First_Follow-Up_Date].[All]" allUniqueName="[Enrollment_Data_2023_2026].[First_Follow-Up_Date].[All]" dimensionUniqueName="[Enrollment_Data_2023_2026]" displayFolder="" count="0" memberValueDatatype="7" unbalanced="0"/>
    <cacheHierarchy uniqueName="[Enrollment_Data_2023_2026].[Second_Follow-Up_Date]" caption="Second_Follow-Up_Date" attribute="1" time="1" defaultMemberUniqueName="[Enrollment_Data_2023_2026].[Second_Follow-Up_Date].[All]" allUniqueName="[Enrollment_Data_2023_2026].[Second_Follow-Up_Date].[All]" dimensionUniqueName="[Enrollment_Data_2023_2026]" displayFolder="" count="0" memberValueDatatype="7" unbalanced="0"/>
    <cacheHierarchy uniqueName="[Enrollment_Data_2023_2026].[Status]" caption="Status" attribute="1" defaultMemberUniqueName="[Enrollment_Data_2023_2026].[Status].[All]" allUniqueName="[Enrollment_Data_2023_2026].[Status].[All]" dimensionUniqueName="[Enrollment_Data_2023_2026]" displayFolder="" count="0" memberValueDatatype="130" unbalanced="0"/>
    <cacheHierarchy uniqueName="[Enrollment_Data_2023_2026].[Days_Inquiry_to_Fill]" caption="Days_Inquiry_to_Fill" attribute="1" defaultMemberUniqueName="[Enrollment_Data_2023_2026].[Days_Inquiry_to_Fill].[All]" allUniqueName="[Enrollment_Data_2023_2026].[Days_Inquiry_to_Fill].[All]" dimensionUniqueName="[Enrollment_Data_2023_2026]" displayFolder="" count="0" memberValueDatatype="20" unbalanced="0"/>
    <cacheHierarchy uniqueName="[Enrollment_Data_2023_2026].[Days_Inquiry_to_Enroll]" caption="Days_Inquiry_to_Enroll" attribute="1" defaultMemberUniqueName="[Enrollment_Data_2023_2026].[Days_Inquiry_to_Enroll].[All]" allUniqueName="[Enrollment_Data_2023_2026].[Days_Inquiry_to_Enroll].[All]" dimensionUniqueName="[Enrollment_Data_2023_2026]" displayFolder="" count="0" memberValueDatatype="20" unbalanced="0"/>
    <cacheHierarchy uniqueName="[Enrollment_Data_2023_2026].[Column12]" caption="Column12" attribute="1" defaultMemberUniqueName="[Enrollment_Data_2023_2026].[Column12].[All]" allUniqueName="[Enrollment_Data_2023_2026].[Column12].[All]" dimensionUniqueName="[Enrollment_Data_2023_2026]" displayFolder="" count="0" memberValueDatatype="130" unbalanced="0"/>
    <cacheHierarchy uniqueName="[Enrollment_Data_2023_2026].[Column13]" caption="Column13" attribute="1" defaultMemberUniqueName="[Enrollment_Data_2023_2026].[Column13].[All]" allUniqueName="[Enrollment_Data_2023_2026].[Column13].[All]" dimensionUniqueName="[Enrollment_Data_2023_2026]" displayFolder="" count="0" memberValueDatatype="130" unbalanced="0"/>
    <cacheHierarchy uniqueName="[Enrollment_Data_2023_2026].[Fill-Up_Date (Year)]" caption="Fill-Up_Date (Year)" attribute="1" defaultMemberUniqueName="[Enrollment_Data_2023_2026].[Fill-Up_Date (Year)].[All]" allUniqueName="[Enrollment_Data_2023_2026].[Fill-Up_Date (Year)].[All]" dimensionUniqueName="[Enrollment_Data_2023_2026]" displayFolder="" count="0" memberValueDatatype="130" unbalanced="0"/>
    <cacheHierarchy uniqueName="[Enrollment_Data_2023_2026].[Fill-Up_Date (Quarter)]" caption="Fill-Up_Date (Quarter)" attribute="1" defaultMemberUniqueName="[Enrollment_Data_2023_2026].[Fill-Up_Date (Quarter)].[All]" allUniqueName="[Enrollment_Data_2023_2026].[Fill-Up_Date (Quarter)].[All]" dimensionUniqueName="[Enrollment_Data_2023_2026]" displayFolder="" count="0" memberValueDatatype="130" unbalanced="0"/>
    <cacheHierarchy uniqueName="[Enrollment_Data_2023_2026].[Fill-Up_Date (Month)]" caption="Fill-Up_Date (Month)" attribute="1" defaultMemberUniqueName="[Enrollment_Data_2023_2026].[Fill-Up_Date (Month)].[All]" allUniqueName="[Enrollment_Data_2023_2026].[Fill-Up_Date (Month)].[All]" dimensionUniqueName="[Enrollment_Data_2023_2026]" displayFolder="" count="0" memberValueDatatype="130" unbalanced="0"/>
    <cacheHierarchy uniqueName="[Enrollment_Data_2023_2026].[First_Inquire_Date (Year)]" caption="First_Inquire_Date (Year)" attribute="1" defaultMemberUniqueName="[Enrollment_Data_2023_2026].[First_Inquire_Date (Year)].[All]" allUniqueName="[Enrollment_Data_2023_2026].[First_Inquire_Date (Year)].[All]" dimensionUniqueName="[Enrollment_Data_2023_2026]" displayFolder="" count="0" memberValueDatatype="130" unbalanced="0"/>
    <cacheHierarchy uniqueName="[Enrollment_Data_2023_2026].[First_Inquire_Date (Quarter)]" caption="First_Inquire_Date (Quarter)" attribute="1" defaultMemberUniqueName="[Enrollment_Data_2023_2026].[First_Inquire_Date (Quarter)].[All]" allUniqueName="[Enrollment_Data_2023_2026].[First_Inquire_Date (Quarter)].[All]" dimensionUniqueName="[Enrollment_Data_2023_2026]" displayFolder="" count="0" memberValueDatatype="130" unbalanced="0"/>
    <cacheHierarchy uniqueName="[Enrollment_Data_2023_2026].[First_Inquire_Date (Month)]" caption="First_Inquire_Date (Month)" attribute="1" defaultMemberUniqueName="[Enrollment_Data_2023_2026].[First_Inquire_Date (Month)].[All]" allUniqueName="[Enrollment_Data_2023_2026].[First_Inquire_Date (Month)].[All]" dimensionUniqueName="[Enrollment_Data_2023_2026]" displayFolder="" count="0" memberValueDatatype="130" unbalanced="0"/>
    <cacheHierarchy uniqueName="[Enrollment_Data_2023_2026].[Days Fill-Up to Enrolled]" caption="Days Fill-Up to Enrolled" attribute="1" defaultMemberUniqueName="[Enrollment_Data_2023_2026].[Days Fill-Up to Enrolled].[All]" allUniqueName="[Enrollment_Data_2023_2026].[Days Fill-Up to Enrolled].[All]" dimensionUniqueName="[Enrollment_Data_2023_2026]" displayFolder="" count="0" memberValueDatatype="20" unbalanced="0"/>
    <cacheHierarchy uniqueName="[Enrollment_Data_2023_2026].[First_Follow-Up_Date (Year)]" caption="First_Follow-Up_Date (Year)" attribute="1" defaultMemberUniqueName="[Enrollment_Data_2023_2026].[First_Follow-Up_Date (Year)].[All]" allUniqueName="[Enrollment_Data_2023_2026].[First_Follow-Up_Date (Year)].[All]" dimensionUniqueName="[Enrollment_Data_2023_2026]" displayFolder="" count="0" memberValueDatatype="130" unbalanced="0"/>
    <cacheHierarchy uniqueName="[Enrollment_Data_2023_2026].[First_Follow-Up_Date (Quarter)]" caption="First_Follow-Up_Date (Quarter)" attribute="1" defaultMemberUniqueName="[Enrollment_Data_2023_2026].[First_Follow-Up_Date (Quarter)].[All]" allUniqueName="[Enrollment_Data_2023_2026].[First_Follow-Up_Date (Quarter)].[All]" dimensionUniqueName="[Enrollment_Data_2023_2026]" displayFolder="" count="0" memberValueDatatype="130" unbalanced="0"/>
    <cacheHierarchy uniqueName="[Enrollment_Data_2023_2026].[First_Follow-Up_Date (Month)]" caption="First_Follow-Up_Date (Month)" attribute="1" defaultMemberUniqueName="[Enrollment_Data_2023_2026].[First_Follow-Up_Date (Month)].[All]" allUniqueName="[Enrollment_Data_2023_2026].[First_Follow-Up_Date (Month)].[All]" dimensionUniqueName="[Enrollment_Data_2023_2026]" displayFolder="" count="0" memberValueDatatype="130" unbalanced="0"/>
    <cacheHierarchy uniqueName="[Enrollment_Data_2023_2026].[Fill-Up_Date (Month Index)]" caption="Fill-Up_Date (Month Index)" attribute="1" defaultMemberUniqueName="[Enrollment_Data_2023_2026].[Fill-Up_Date (Month Index)].[All]" allUniqueName="[Enrollment_Data_2023_2026].[Fill-Up_Date (Month Index)].[All]" dimensionUniqueName="[Enrollment_Data_2023_2026]" displayFolder="" count="0" memberValueDatatype="20" unbalanced="0" hidden="1"/>
    <cacheHierarchy uniqueName="[Enrollment_Data_2023_2026].[First_Follow-Up_Date (Month Index)]" caption="First_Follow-Up_Date (Month Index)" attribute="1" defaultMemberUniqueName="[Enrollment_Data_2023_2026].[First_Follow-Up_Date (Month Index)].[All]" allUniqueName="[Enrollment_Data_2023_2026].[First_Follow-Up_Date (Month Index)].[All]" dimensionUniqueName="[Enrollment_Data_2023_2026]" displayFolder="" count="0" memberValueDatatype="20" unbalanced="0" hidden="1"/>
    <cacheHierarchy uniqueName="[Enrollment_Data_2023_2026].[First_Inquire_Date (Month Index)]" caption="First_Inquire_Date (Month Index)" attribute="1" defaultMemberUniqueName="[Enrollment_Data_2023_2026].[First_Inquire_Date (Month Index)].[All]" allUniqueName="[Enrollment_Data_2023_2026].[First_Inquire_Date (Month Index)].[All]" dimensionUniqueName="[Enrollment_Data_2023_2026]" displayFolder="" count="0" memberValueDatatype="20" unbalanced="0" hidden="1"/>
    <cacheHierarchy uniqueName="[Measures].[Avg._day_inquire_to_fill-up]" caption="Avg._day_inquire_to_fill-up" measure="1" displayFolder="" measureGroup="Calculation" count="0"/>
    <cacheHierarchy uniqueName="[Measures].[Avg._day_Inquire_to_Enrolled]" caption="Avg._day_Inquire_to_Enrolled" measure="1" displayFolder="" measureGroup="Calculation" count="0"/>
    <cacheHierarchy uniqueName="[Measures].[Avg._Day_fill-up_to_enrolled]" caption="Avg._Day_fill-up_to_enrolled" measure="1" displayFolder="" measureGroup="Calculation" count="0"/>
    <cacheHierarchy uniqueName="[Measures].[First Follow-up (Enrolled)]" caption="First Follow-up (Enrolled)" measure="1" displayFolder="" measureGroup="Calculation" count="0"/>
    <cacheHierarchy uniqueName="[Measures].[Second Follow up ( Enrolled)]" caption="Second Follow up ( Enrolled)" measure="1" displayFolder="" measureGroup="Calculation" count="0"/>
    <cacheHierarchy uniqueName="[Measures].[Enrolled W/O Follow up]" caption="Enrolled W/O Follow up" measure="1" displayFolder="" measureGroup="Calculation" count="0"/>
    <cacheHierarchy uniqueName="[Measures].[Total Enrolled]" caption="Total Enrolled" measure="1" displayFolder="" measureGroup="Calculation" count="0"/>
    <cacheHierarchy uniqueName="[Measures].[__XL_Count Enrollment_Data_2023_2026]" caption="__XL_Count Enrollment_Data_2023_2026" measure="1" displayFolder="" measureGroup="Enrollment_Data_2023_2026" count="0" hidden="1"/>
    <cacheHierarchy uniqueName="[Measures].[__XL_Count Date]" caption="__XL_Count Date" measure="1" displayFolder="" measureGroup="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Count of Fill-Up_Date]" caption="Count of Fill-Up_Date" measure="1" displayFolder="" measureGroup="Enrollment_Data_2023_2026" count="0" hidden="1">
      <extLst>
        <ext xmlns:x15="http://schemas.microsoft.com/office/spreadsheetml/2010/11/main" uri="{B97F6D7D-B522-45F9-BDA1-12C45D357490}">
          <x15:cacheHierarchy aggregatedColumn="12"/>
        </ext>
      </extLst>
    </cacheHierarchy>
    <cacheHierarchy uniqueName="[Measures].[Count of Enrolled_Date]" caption="Count of Enrolled_Date" measure="1" displayFolder="" measureGroup="Enrollment_Data_2023_2026" count="0" hidden="1">
      <extLst>
        <ext xmlns:x15="http://schemas.microsoft.com/office/spreadsheetml/2010/11/main" uri="{B97F6D7D-B522-45F9-BDA1-12C45D357490}">
          <x15:cacheHierarchy aggregatedColumn="13"/>
        </ext>
      </extLst>
    </cacheHierarchy>
    <cacheHierarchy uniqueName="[Measures].[Count of First_Inquire_Date]" caption="Count of First_Inquire_Date" measure="1" displayFolder="" measureGroup="Enrollment_Data_2023_2026"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Days_Inquiry_to_Fill]" caption="Sum of Days_Inquiry_to_Fill" measure="1" displayFolder="" measureGroup="Enrollment_Data_2023_2026" count="0" hidden="1">
      <extLst>
        <ext xmlns:x15="http://schemas.microsoft.com/office/spreadsheetml/2010/11/main" uri="{B97F6D7D-B522-45F9-BDA1-12C45D357490}">
          <x15:cacheHierarchy aggregatedColumn="17"/>
        </ext>
      </extLst>
    </cacheHierarchy>
    <cacheHierarchy uniqueName="[Measures].[Average of Days_Inquiry_to_Fill]" caption="Average of Days_Inquiry_to_Fill" measure="1" displayFolder="" measureGroup="Enrollment_Data_2023_2026" count="0" hidden="1">
      <extLst>
        <ext xmlns:x15="http://schemas.microsoft.com/office/spreadsheetml/2010/11/main" uri="{B97F6D7D-B522-45F9-BDA1-12C45D357490}">
          <x15:cacheHierarchy aggregatedColumn="17"/>
        </ext>
      </extLst>
    </cacheHierarchy>
    <cacheHierarchy uniqueName="[Measures].[Count of First_Follow-Up_Date]" caption="Count of First_Follow-Up_Date" measure="1" displayFolder="" measureGroup="Enrollment_Data_2023_2026" count="0" hidden="1">
      <extLst>
        <ext xmlns:x15="http://schemas.microsoft.com/office/spreadsheetml/2010/11/main" uri="{B97F6D7D-B522-45F9-BDA1-12C45D357490}">
          <x15:cacheHierarchy aggregatedColumn="14"/>
        </ext>
      </extLst>
    </cacheHierarchy>
    <cacheHierarchy uniqueName="[Measures].[Count of Second_Follow-Up_Date]" caption="Count of Second_Follow-Up_Date" measure="1" displayFolder="" measureGroup="Enrollment_Data_2023_2026"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Enrollment_Data_2023_2026" count="0" hidden="1">
      <extLst>
        <ext xmlns:x15="http://schemas.microsoft.com/office/spreadsheetml/2010/11/main" uri="{B97F6D7D-B522-45F9-BDA1-12C45D357490}">
          <x15:cacheHierarchy aggregatedColumn="8"/>
        </ext>
      </extLst>
    </cacheHierarchy>
  </cacheHierarchies>
  <kpis count="0"/>
  <dimensions count="4">
    <dimension name="Calculation" uniqueName="[Calculation]" caption="Calculation"/>
    <dimension name="Date" uniqueName="[Date]" caption="Date"/>
    <dimension name="Enrollment_Data_2023_2026" uniqueName="[Enrollment_Data_2023_2026]" caption="Enrollment_Data_2023_2026"/>
    <dimension measure="1" name="Measures" uniqueName="[Measures]" caption="Measures"/>
  </dimensions>
  <measureGroups count="3">
    <measureGroup name="Calculation" caption="Calculation"/>
    <measureGroup name="Date" caption="Date"/>
    <measureGroup name="Enrollment_Data_2023_2026" caption="Enrollment_Data_2023_2026"/>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30.910200115744" backgroundQuery="1" createdVersion="8" refreshedVersion="8" minRefreshableVersion="3" recordCount="0" supportSubquery="1" supportAdvancedDrill="1" xr:uid="{0760E5C2-506A-44CD-BA61-55554F167AD8}">
  <cacheSource type="external" connectionId="4"/>
  <cacheFields count="3">
    <cacheField name="[Date].[Year].[Year]" caption="Year" numFmtId="0" hierarchy="2" level="1">
      <sharedItems containsSemiMixedTypes="0" containsNonDate="0" containsString="0"/>
    </cacheField>
    <cacheField name="[Date].[Weektype].[Weektype]" caption="Weektype" numFmtId="0" hierarchy="7" level="1">
      <sharedItems count="2">
        <s v="Weekdays"/>
        <s v="Weekend"/>
      </sharedItems>
    </cacheField>
    <cacheField name="[Measures].[Count of Name]" caption="Count of Name" numFmtId="0" hierarchy="52" level="32767"/>
  </cacheFields>
  <cacheHierarchies count="53">
    <cacheHierarchy uniqueName="[Calculation].[Measures]" caption="Measures" attribute="1" defaultMemberUniqueName="[Calculation].[Measures].[All]" allUniqueName="[Calculation].[Measures].[All]" dimensionUniqueName="[Calculation]" displayFolder="" count="0" memberValueDatatype="130" unbalanced="0"/>
    <cacheHierarchy uniqueName="[Date].[First_Inquire_Date]" caption="First_Inquire_Date" attribute="1" time="1" defaultMemberUniqueName="[Date].[First_Inquire_Date].[All]" allUniqueName="[Date].[First_Inquire_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0"/>
      </fieldsUsage>
    </cacheHierarchy>
    <cacheHierarchy uniqueName="[Date].[Month]" caption="Month" attribute="1" defaultMemberUniqueName="[Date].[Month].[All]" allUniqueName="[Date].[Month].[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Day_name]" caption="Day_name" attribute="1" defaultMemberUniqueName="[Date].[Day_name].[All]" allUniqueName="[Date].[Day_name].[All]" dimensionUniqueName="[Date]" displayFolder="" count="0" memberValueDatatype="130" unbalanced="0"/>
    <cacheHierarchy uniqueName="[Date].[Weektype]" caption="Weektype" attribute="1" defaultMemberUniqueName="[Date].[Weektype].[All]" allUniqueName="[Date].[Weektype].[All]" dimensionUniqueName="[Date]" displayFolder="" count="2" memberValueDatatype="130" unbalanced="0">
      <fieldsUsage count="2">
        <fieldUsage x="-1"/>
        <fieldUsage x="1"/>
      </fieldsUsage>
    </cacheHierarchy>
    <cacheHierarchy uniqueName="[Enrollment_Data_2023_2026].[Name]" caption="Name" attribute="1" defaultMemberUniqueName="[Enrollment_Data_2023_2026].[Name].[All]" allUniqueName="[Enrollment_Data_2023_2026].[Name].[All]" dimensionUniqueName="[Enrollment_Data_2023_2026]" displayFolder="" count="0" memberValueDatatype="130" unbalanced="0"/>
    <cacheHierarchy uniqueName="[Enrollment_Data_2023_2026].[Student_Level]" caption="Student_Level" attribute="1" defaultMemberUniqueName="[Enrollment_Data_2023_2026].[Student_Level].[All]" allUniqueName="[Enrollment_Data_2023_2026].[Student_Level].[All]" dimensionUniqueName="[Enrollment_Data_2023_2026]" displayFolder="" count="0" memberValueDatatype="130" unbalanced="0"/>
    <cacheHierarchy uniqueName="[Enrollment_Data_2023_2026].[Channel]" caption="Channel" attribute="1" defaultMemberUniqueName="[Enrollment_Data_2023_2026].[Channel].[All]" allUniqueName="[Enrollment_Data_2023_2026].[Channel].[All]" dimensionUniqueName="[Enrollment_Data_2023_2026]" displayFolder="" count="0" memberValueDatatype="130" unbalanced="0"/>
    <cacheHierarchy uniqueName="[Enrollment_Data_2023_2026].[First_Inquire_Date]" caption="First_Inquire_Date" attribute="1" time="1" defaultMemberUniqueName="[Enrollment_Data_2023_2026].[First_Inquire_Date].[All]" allUniqueName="[Enrollment_Data_2023_2026].[First_Inquire_Date].[All]" dimensionUniqueName="[Enrollment_Data_2023_2026]" displayFolder="" count="0" memberValueDatatype="7" unbalanced="0"/>
    <cacheHierarchy uniqueName="[Enrollment_Data_2023_2026].[Fill-Up_Date]" caption="Fill-Up_Date" attribute="1" time="1" defaultMemberUniqueName="[Enrollment_Data_2023_2026].[Fill-Up_Date].[All]" allUniqueName="[Enrollment_Data_2023_2026].[Fill-Up_Date].[All]" dimensionUniqueName="[Enrollment_Data_2023_2026]" displayFolder="" count="0" memberValueDatatype="7" unbalanced="0"/>
    <cacheHierarchy uniqueName="[Enrollment_Data_2023_2026].[Enrolled_Date]" caption="Enrolled_Date" attribute="1" time="1" defaultMemberUniqueName="[Enrollment_Data_2023_2026].[Enrolled_Date].[All]" allUniqueName="[Enrollment_Data_2023_2026].[Enrolled_Date].[All]" dimensionUniqueName="[Enrollment_Data_2023_2026]" displayFolder="" count="0" memberValueDatatype="7" unbalanced="0"/>
    <cacheHierarchy uniqueName="[Enrollment_Data_2023_2026].[First_Follow-Up_Date]" caption="First_Follow-Up_Date" attribute="1" time="1" defaultMemberUniqueName="[Enrollment_Data_2023_2026].[First_Follow-Up_Date].[All]" allUniqueName="[Enrollment_Data_2023_2026].[First_Follow-Up_Date].[All]" dimensionUniqueName="[Enrollment_Data_2023_2026]" displayFolder="" count="0" memberValueDatatype="7" unbalanced="0"/>
    <cacheHierarchy uniqueName="[Enrollment_Data_2023_2026].[Second_Follow-Up_Date]" caption="Second_Follow-Up_Date" attribute="1" time="1" defaultMemberUniqueName="[Enrollment_Data_2023_2026].[Second_Follow-Up_Date].[All]" allUniqueName="[Enrollment_Data_2023_2026].[Second_Follow-Up_Date].[All]" dimensionUniqueName="[Enrollment_Data_2023_2026]" displayFolder="" count="0" memberValueDatatype="7" unbalanced="0"/>
    <cacheHierarchy uniqueName="[Enrollment_Data_2023_2026].[Status]" caption="Status" attribute="1" defaultMemberUniqueName="[Enrollment_Data_2023_2026].[Status].[All]" allUniqueName="[Enrollment_Data_2023_2026].[Status].[All]" dimensionUniqueName="[Enrollment_Data_2023_2026]" displayFolder="" count="0" memberValueDatatype="130" unbalanced="0"/>
    <cacheHierarchy uniqueName="[Enrollment_Data_2023_2026].[Days_Inquiry_to_Fill]" caption="Days_Inquiry_to_Fill" attribute="1" defaultMemberUniqueName="[Enrollment_Data_2023_2026].[Days_Inquiry_to_Fill].[All]" allUniqueName="[Enrollment_Data_2023_2026].[Days_Inquiry_to_Fill].[All]" dimensionUniqueName="[Enrollment_Data_2023_2026]" displayFolder="" count="0" memberValueDatatype="20" unbalanced="0"/>
    <cacheHierarchy uniqueName="[Enrollment_Data_2023_2026].[Days_Inquiry_to_Enroll]" caption="Days_Inquiry_to_Enroll" attribute="1" defaultMemberUniqueName="[Enrollment_Data_2023_2026].[Days_Inquiry_to_Enroll].[All]" allUniqueName="[Enrollment_Data_2023_2026].[Days_Inquiry_to_Enroll].[All]" dimensionUniqueName="[Enrollment_Data_2023_2026]" displayFolder="" count="0" memberValueDatatype="20" unbalanced="0"/>
    <cacheHierarchy uniqueName="[Enrollment_Data_2023_2026].[Column12]" caption="Column12" attribute="1" defaultMemberUniqueName="[Enrollment_Data_2023_2026].[Column12].[All]" allUniqueName="[Enrollment_Data_2023_2026].[Column12].[All]" dimensionUniqueName="[Enrollment_Data_2023_2026]" displayFolder="" count="0" memberValueDatatype="130" unbalanced="0"/>
    <cacheHierarchy uniqueName="[Enrollment_Data_2023_2026].[Column13]" caption="Column13" attribute="1" defaultMemberUniqueName="[Enrollment_Data_2023_2026].[Column13].[All]" allUniqueName="[Enrollment_Data_2023_2026].[Column13].[All]" dimensionUniqueName="[Enrollment_Data_2023_2026]" displayFolder="" count="0" memberValueDatatype="130" unbalanced="0"/>
    <cacheHierarchy uniqueName="[Enrollment_Data_2023_2026].[Fill-Up_Date (Year)]" caption="Fill-Up_Date (Year)" attribute="1" defaultMemberUniqueName="[Enrollment_Data_2023_2026].[Fill-Up_Date (Year)].[All]" allUniqueName="[Enrollment_Data_2023_2026].[Fill-Up_Date (Year)].[All]" dimensionUniqueName="[Enrollment_Data_2023_2026]" displayFolder="" count="0" memberValueDatatype="130" unbalanced="0"/>
    <cacheHierarchy uniqueName="[Enrollment_Data_2023_2026].[Fill-Up_Date (Quarter)]" caption="Fill-Up_Date (Quarter)" attribute="1" defaultMemberUniqueName="[Enrollment_Data_2023_2026].[Fill-Up_Date (Quarter)].[All]" allUniqueName="[Enrollment_Data_2023_2026].[Fill-Up_Date (Quarter)].[All]" dimensionUniqueName="[Enrollment_Data_2023_2026]" displayFolder="" count="0" memberValueDatatype="130" unbalanced="0"/>
    <cacheHierarchy uniqueName="[Enrollment_Data_2023_2026].[Fill-Up_Date (Month)]" caption="Fill-Up_Date (Month)" attribute="1" defaultMemberUniqueName="[Enrollment_Data_2023_2026].[Fill-Up_Date (Month)].[All]" allUniqueName="[Enrollment_Data_2023_2026].[Fill-Up_Date (Month)].[All]" dimensionUniqueName="[Enrollment_Data_2023_2026]" displayFolder="" count="0" memberValueDatatype="130" unbalanced="0"/>
    <cacheHierarchy uniqueName="[Enrollment_Data_2023_2026].[First_Inquire_Date (Year)]" caption="First_Inquire_Date (Year)" attribute="1" defaultMemberUniqueName="[Enrollment_Data_2023_2026].[First_Inquire_Date (Year)].[All]" allUniqueName="[Enrollment_Data_2023_2026].[First_Inquire_Date (Year)].[All]" dimensionUniqueName="[Enrollment_Data_2023_2026]" displayFolder="" count="0" memberValueDatatype="130" unbalanced="0"/>
    <cacheHierarchy uniqueName="[Enrollment_Data_2023_2026].[First_Inquire_Date (Quarter)]" caption="First_Inquire_Date (Quarter)" attribute="1" defaultMemberUniqueName="[Enrollment_Data_2023_2026].[First_Inquire_Date (Quarter)].[All]" allUniqueName="[Enrollment_Data_2023_2026].[First_Inquire_Date (Quarter)].[All]" dimensionUniqueName="[Enrollment_Data_2023_2026]" displayFolder="" count="0" memberValueDatatype="130" unbalanced="0"/>
    <cacheHierarchy uniqueName="[Enrollment_Data_2023_2026].[First_Inquire_Date (Month)]" caption="First_Inquire_Date (Month)" attribute="1" defaultMemberUniqueName="[Enrollment_Data_2023_2026].[First_Inquire_Date (Month)].[All]" allUniqueName="[Enrollment_Data_2023_2026].[First_Inquire_Date (Month)].[All]" dimensionUniqueName="[Enrollment_Data_2023_2026]" displayFolder="" count="0" memberValueDatatype="130" unbalanced="0"/>
    <cacheHierarchy uniqueName="[Enrollment_Data_2023_2026].[Days Fill-Up to Enrolled]" caption="Days Fill-Up to Enrolled" attribute="1" defaultMemberUniqueName="[Enrollment_Data_2023_2026].[Days Fill-Up to Enrolled].[All]" allUniqueName="[Enrollment_Data_2023_2026].[Days Fill-Up to Enrolled].[All]" dimensionUniqueName="[Enrollment_Data_2023_2026]" displayFolder="" count="0" memberValueDatatype="20" unbalanced="0"/>
    <cacheHierarchy uniqueName="[Enrollment_Data_2023_2026].[First_Follow-Up_Date (Year)]" caption="First_Follow-Up_Date (Year)" attribute="1" defaultMemberUniqueName="[Enrollment_Data_2023_2026].[First_Follow-Up_Date (Year)].[All]" allUniqueName="[Enrollment_Data_2023_2026].[First_Follow-Up_Date (Year)].[All]" dimensionUniqueName="[Enrollment_Data_2023_2026]" displayFolder="" count="0" memberValueDatatype="130" unbalanced="0"/>
    <cacheHierarchy uniqueName="[Enrollment_Data_2023_2026].[First_Follow-Up_Date (Quarter)]" caption="First_Follow-Up_Date (Quarter)" attribute="1" defaultMemberUniqueName="[Enrollment_Data_2023_2026].[First_Follow-Up_Date (Quarter)].[All]" allUniqueName="[Enrollment_Data_2023_2026].[First_Follow-Up_Date (Quarter)].[All]" dimensionUniqueName="[Enrollment_Data_2023_2026]" displayFolder="" count="0" memberValueDatatype="130" unbalanced="0"/>
    <cacheHierarchy uniqueName="[Enrollment_Data_2023_2026].[First_Follow-Up_Date (Month)]" caption="First_Follow-Up_Date (Month)" attribute="1" defaultMemberUniqueName="[Enrollment_Data_2023_2026].[First_Follow-Up_Date (Month)].[All]" allUniqueName="[Enrollment_Data_2023_2026].[First_Follow-Up_Date (Month)].[All]" dimensionUniqueName="[Enrollment_Data_2023_2026]" displayFolder="" count="0" memberValueDatatype="130" unbalanced="0"/>
    <cacheHierarchy uniqueName="[Enrollment_Data_2023_2026].[Fill-Up_Date (Month Index)]" caption="Fill-Up_Date (Month Index)" attribute="1" defaultMemberUniqueName="[Enrollment_Data_2023_2026].[Fill-Up_Date (Month Index)].[All]" allUniqueName="[Enrollment_Data_2023_2026].[Fill-Up_Date (Month Index)].[All]" dimensionUniqueName="[Enrollment_Data_2023_2026]" displayFolder="" count="0" memberValueDatatype="20" unbalanced="0" hidden="1"/>
    <cacheHierarchy uniqueName="[Enrollment_Data_2023_2026].[First_Follow-Up_Date (Month Index)]" caption="First_Follow-Up_Date (Month Index)" attribute="1" defaultMemberUniqueName="[Enrollment_Data_2023_2026].[First_Follow-Up_Date (Month Index)].[All]" allUniqueName="[Enrollment_Data_2023_2026].[First_Follow-Up_Date (Month Index)].[All]" dimensionUniqueName="[Enrollment_Data_2023_2026]" displayFolder="" count="0" memberValueDatatype="20" unbalanced="0" hidden="1"/>
    <cacheHierarchy uniqueName="[Enrollment_Data_2023_2026].[First_Inquire_Date (Month Index)]" caption="First_Inquire_Date (Month Index)" attribute="1" defaultMemberUniqueName="[Enrollment_Data_2023_2026].[First_Inquire_Date (Month Index)].[All]" allUniqueName="[Enrollment_Data_2023_2026].[First_Inquire_Date (Month Index)].[All]" dimensionUniqueName="[Enrollment_Data_2023_2026]" displayFolder="" count="0" memberValueDatatype="20" unbalanced="0" hidden="1"/>
    <cacheHierarchy uniqueName="[Measures].[Avg._day_inquire_to_fill-up]" caption="Avg._day_inquire_to_fill-up" measure="1" displayFolder="" measureGroup="Calculation" count="0"/>
    <cacheHierarchy uniqueName="[Measures].[Avg._day_Inquire_to_Enrolled]" caption="Avg._day_Inquire_to_Enrolled" measure="1" displayFolder="" measureGroup="Calculation" count="0"/>
    <cacheHierarchy uniqueName="[Measures].[Avg._Day_fill-up_to_enrolled]" caption="Avg._Day_fill-up_to_enrolled" measure="1" displayFolder="" measureGroup="Calculation" count="0"/>
    <cacheHierarchy uniqueName="[Measures].[First Follow-up (Enrolled)]" caption="First Follow-up (Enrolled)" measure="1" displayFolder="" measureGroup="Calculation" count="0"/>
    <cacheHierarchy uniqueName="[Measures].[Second Follow up ( Enrolled)]" caption="Second Follow up ( Enrolled)" measure="1" displayFolder="" measureGroup="Calculation" count="0"/>
    <cacheHierarchy uniqueName="[Measures].[Enrolled W/O Follow up]" caption="Enrolled W/O Follow up" measure="1" displayFolder="" measureGroup="Calculation" count="0"/>
    <cacheHierarchy uniqueName="[Measures].[Total Enrolled]" caption="Total Enrolled" measure="1" displayFolder="" measureGroup="Calculation" count="0"/>
    <cacheHierarchy uniqueName="[Measures].[__XL_Count Enrollment_Data_2023_2026]" caption="__XL_Count Enrollment_Data_2023_2026" measure="1" displayFolder="" measureGroup="Enrollment_Data_2023_2026" count="0" hidden="1"/>
    <cacheHierarchy uniqueName="[Measures].[__XL_Count Date]" caption="__XL_Count Date" measure="1" displayFolder="" measureGroup="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Count of Fill-Up_Date]" caption="Count of Fill-Up_Date" measure="1" displayFolder="" measureGroup="Enrollment_Data_2023_2026" count="0" hidden="1">
      <extLst>
        <ext xmlns:x15="http://schemas.microsoft.com/office/spreadsheetml/2010/11/main" uri="{B97F6D7D-B522-45F9-BDA1-12C45D357490}">
          <x15:cacheHierarchy aggregatedColumn="12"/>
        </ext>
      </extLst>
    </cacheHierarchy>
    <cacheHierarchy uniqueName="[Measures].[Count of Enrolled_Date]" caption="Count of Enrolled_Date" measure="1" displayFolder="" measureGroup="Enrollment_Data_2023_2026" count="0" hidden="1">
      <extLst>
        <ext xmlns:x15="http://schemas.microsoft.com/office/spreadsheetml/2010/11/main" uri="{B97F6D7D-B522-45F9-BDA1-12C45D357490}">
          <x15:cacheHierarchy aggregatedColumn="13"/>
        </ext>
      </extLst>
    </cacheHierarchy>
    <cacheHierarchy uniqueName="[Measures].[Count of First_Inquire_Date]" caption="Count of First_Inquire_Date" measure="1" displayFolder="" measureGroup="Enrollment_Data_2023_2026" count="0" hidden="1">
      <extLst>
        <ext xmlns:x15="http://schemas.microsoft.com/office/spreadsheetml/2010/11/main" uri="{B97F6D7D-B522-45F9-BDA1-12C45D357490}">
          <x15:cacheHierarchy aggregatedColumn="11"/>
        </ext>
      </extLst>
    </cacheHierarchy>
    <cacheHierarchy uniqueName="[Measures].[Sum of Days_Inquiry_to_Fill]" caption="Sum of Days_Inquiry_to_Fill" measure="1" displayFolder="" measureGroup="Enrollment_Data_2023_2026" count="0" hidden="1">
      <extLst>
        <ext xmlns:x15="http://schemas.microsoft.com/office/spreadsheetml/2010/11/main" uri="{B97F6D7D-B522-45F9-BDA1-12C45D357490}">
          <x15:cacheHierarchy aggregatedColumn="17"/>
        </ext>
      </extLst>
    </cacheHierarchy>
    <cacheHierarchy uniqueName="[Measures].[Average of Days_Inquiry_to_Fill]" caption="Average of Days_Inquiry_to_Fill" measure="1" displayFolder="" measureGroup="Enrollment_Data_2023_2026" count="0" hidden="1">
      <extLst>
        <ext xmlns:x15="http://schemas.microsoft.com/office/spreadsheetml/2010/11/main" uri="{B97F6D7D-B522-45F9-BDA1-12C45D357490}">
          <x15:cacheHierarchy aggregatedColumn="17"/>
        </ext>
      </extLst>
    </cacheHierarchy>
    <cacheHierarchy uniqueName="[Measures].[Count of First_Follow-Up_Date]" caption="Count of First_Follow-Up_Date" measure="1" displayFolder="" measureGroup="Enrollment_Data_2023_2026" count="0" hidden="1">
      <extLst>
        <ext xmlns:x15="http://schemas.microsoft.com/office/spreadsheetml/2010/11/main" uri="{B97F6D7D-B522-45F9-BDA1-12C45D357490}">
          <x15:cacheHierarchy aggregatedColumn="14"/>
        </ext>
      </extLst>
    </cacheHierarchy>
    <cacheHierarchy uniqueName="[Measures].[Count of Second_Follow-Up_Date]" caption="Count of Second_Follow-Up_Date" measure="1" displayFolder="" measureGroup="Enrollment_Data_2023_2026"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Enrollment_Data_2023_2026"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4">
    <dimension name="Calculation" uniqueName="[Calculation]" caption="Calculation"/>
    <dimension name="Date" uniqueName="[Date]" caption="Date"/>
    <dimension name="Enrollment_Data_2023_2026" uniqueName="[Enrollment_Data_2023_2026]" caption="Enrollment_Data_2023_2026"/>
    <dimension measure="1" name="Measures" uniqueName="[Measures]" caption="Measures"/>
  </dimensions>
  <measureGroups count="3">
    <measureGroup name="Calculation" caption="Calculation"/>
    <measureGroup name="Date" caption="Date"/>
    <measureGroup name="Enrollment_Data_2023_2026" caption="Enrollment_Data_2023_2026"/>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30.91020046296" backgroundQuery="1" createdVersion="8" refreshedVersion="8" minRefreshableVersion="3" recordCount="0" supportSubquery="1" supportAdvancedDrill="1" xr:uid="{8B2637B7-0E04-4380-978D-3CD19A5C2AEC}">
  <cacheSource type="external" connectionId="4"/>
  <cacheFields count="4">
    <cacheField name="[Date].[Year].[Year]" caption="Year" numFmtId="0" hierarchy="2" level="1">
      <sharedItems containsSemiMixedTypes="0" containsNonDate="0" containsString="0"/>
    </cacheField>
    <cacheField name="[Measures].[Count of Name]" caption="Count of Name" numFmtId="0" hierarchy="52" level="32767"/>
    <cacheField name="[Enrollment_Data_2023_2026].[Channel].[Channel]" caption="Channel" numFmtId="0" hierarchy="10" level="1">
      <sharedItems count="6">
        <s v="Facebook"/>
        <s v="Instagram"/>
        <s v="Referrals"/>
        <s v="School Tour"/>
        <s v="Tiktok"/>
        <s v="Walk-in"/>
      </sharedItems>
    </cacheField>
    <cacheField name="[Measures].[Total Enrolled]" caption="Total Enrolled" numFmtId="0" hierarchy="40" level="32767"/>
  </cacheFields>
  <cacheHierarchies count="53">
    <cacheHierarchy uniqueName="[Calculation].[Measures]" caption="Measures" attribute="1" defaultMemberUniqueName="[Calculation].[Measures].[All]" allUniqueName="[Calculation].[Measures].[All]" dimensionUniqueName="[Calculation]" displayFolder="" count="0" memberValueDatatype="130" unbalanced="0"/>
    <cacheHierarchy uniqueName="[Date].[First_Inquire_Date]" caption="First_Inquire_Date" attribute="1" time="1" defaultMemberUniqueName="[Date].[First_Inquire_Date].[All]" allUniqueName="[Date].[First_Inquire_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0"/>
      </fieldsUsage>
    </cacheHierarchy>
    <cacheHierarchy uniqueName="[Date].[Month]" caption="Month" attribute="1" defaultMemberUniqueName="[Date].[Month].[All]" allUniqueName="[Date].[Month].[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Day_name]" caption="Day_name" attribute="1" defaultMemberUniqueName="[Date].[Day_name].[All]" allUniqueName="[Date].[Day_name].[All]" dimensionUniqueName="[Date]" displayFolder="" count="0" memberValueDatatype="130" unbalanced="0"/>
    <cacheHierarchy uniqueName="[Date].[Weektype]" caption="Weektype" attribute="1" defaultMemberUniqueName="[Date].[Weektype].[All]" allUniqueName="[Date].[Weektype].[All]" dimensionUniqueName="[Date]" displayFolder="" count="2" memberValueDatatype="130" unbalanced="0"/>
    <cacheHierarchy uniqueName="[Enrollment_Data_2023_2026].[Name]" caption="Name" attribute="1" defaultMemberUniqueName="[Enrollment_Data_2023_2026].[Name].[All]" allUniqueName="[Enrollment_Data_2023_2026].[Name].[All]" dimensionUniqueName="[Enrollment_Data_2023_2026]" displayFolder="" count="0" memberValueDatatype="130" unbalanced="0"/>
    <cacheHierarchy uniqueName="[Enrollment_Data_2023_2026].[Student_Level]" caption="Student_Level" attribute="1" defaultMemberUniqueName="[Enrollment_Data_2023_2026].[Student_Level].[All]" allUniqueName="[Enrollment_Data_2023_2026].[Student_Level].[All]" dimensionUniqueName="[Enrollment_Data_2023_2026]" displayFolder="" count="0" memberValueDatatype="130" unbalanced="0"/>
    <cacheHierarchy uniqueName="[Enrollment_Data_2023_2026].[Channel]" caption="Channel" attribute="1" defaultMemberUniqueName="[Enrollment_Data_2023_2026].[Channel].[All]" allUniqueName="[Enrollment_Data_2023_2026].[Channel].[All]" dimensionUniqueName="[Enrollment_Data_2023_2026]" displayFolder="" count="2" memberValueDatatype="130" unbalanced="0">
      <fieldsUsage count="2">
        <fieldUsage x="-1"/>
        <fieldUsage x="2"/>
      </fieldsUsage>
    </cacheHierarchy>
    <cacheHierarchy uniqueName="[Enrollment_Data_2023_2026].[First_Inquire_Date]" caption="First_Inquire_Date" attribute="1" time="1" defaultMemberUniqueName="[Enrollment_Data_2023_2026].[First_Inquire_Date].[All]" allUniqueName="[Enrollment_Data_2023_2026].[First_Inquire_Date].[All]" dimensionUniqueName="[Enrollment_Data_2023_2026]" displayFolder="" count="0" memberValueDatatype="7" unbalanced="0"/>
    <cacheHierarchy uniqueName="[Enrollment_Data_2023_2026].[Fill-Up_Date]" caption="Fill-Up_Date" attribute="1" time="1" defaultMemberUniqueName="[Enrollment_Data_2023_2026].[Fill-Up_Date].[All]" allUniqueName="[Enrollment_Data_2023_2026].[Fill-Up_Date].[All]" dimensionUniqueName="[Enrollment_Data_2023_2026]" displayFolder="" count="0" memberValueDatatype="7" unbalanced="0"/>
    <cacheHierarchy uniqueName="[Enrollment_Data_2023_2026].[Enrolled_Date]" caption="Enrolled_Date" attribute="1" time="1" defaultMemberUniqueName="[Enrollment_Data_2023_2026].[Enrolled_Date].[All]" allUniqueName="[Enrollment_Data_2023_2026].[Enrolled_Date].[All]" dimensionUniqueName="[Enrollment_Data_2023_2026]" displayFolder="" count="0" memberValueDatatype="7" unbalanced="0"/>
    <cacheHierarchy uniqueName="[Enrollment_Data_2023_2026].[First_Follow-Up_Date]" caption="First_Follow-Up_Date" attribute="1" time="1" defaultMemberUniqueName="[Enrollment_Data_2023_2026].[First_Follow-Up_Date].[All]" allUniqueName="[Enrollment_Data_2023_2026].[First_Follow-Up_Date].[All]" dimensionUniqueName="[Enrollment_Data_2023_2026]" displayFolder="" count="0" memberValueDatatype="7" unbalanced="0"/>
    <cacheHierarchy uniqueName="[Enrollment_Data_2023_2026].[Second_Follow-Up_Date]" caption="Second_Follow-Up_Date" attribute="1" time="1" defaultMemberUniqueName="[Enrollment_Data_2023_2026].[Second_Follow-Up_Date].[All]" allUniqueName="[Enrollment_Data_2023_2026].[Second_Follow-Up_Date].[All]" dimensionUniqueName="[Enrollment_Data_2023_2026]" displayFolder="" count="0" memberValueDatatype="7" unbalanced="0"/>
    <cacheHierarchy uniqueName="[Enrollment_Data_2023_2026].[Status]" caption="Status" attribute="1" defaultMemberUniqueName="[Enrollment_Data_2023_2026].[Status].[All]" allUniqueName="[Enrollment_Data_2023_2026].[Status].[All]" dimensionUniqueName="[Enrollment_Data_2023_2026]" displayFolder="" count="0" memberValueDatatype="130" unbalanced="0"/>
    <cacheHierarchy uniqueName="[Enrollment_Data_2023_2026].[Days_Inquiry_to_Fill]" caption="Days_Inquiry_to_Fill" attribute="1" defaultMemberUniqueName="[Enrollment_Data_2023_2026].[Days_Inquiry_to_Fill].[All]" allUniqueName="[Enrollment_Data_2023_2026].[Days_Inquiry_to_Fill].[All]" dimensionUniqueName="[Enrollment_Data_2023_2026]" displayFolder="" count="0" memberValueDatatype="20" unbalanced="0"/>
    <cacheHierarchy uniqueName="[Enrollment_Data_2023_2026].[Days_Inquiry_to_Enroll]" caption="Days_Inquiry_to_Enroll" attribute="1" defaultMemberUniqueName="[Enrollment_Data_2023_2026].[Days_Inquiry_to_Enroll].[All]" allUniqueName="[Enrollment_Data_2023_2026].[Days_Inquiry_to_Enroll].[All]" dimensionUniqueName="[Enrollment_Data_2023_2026]" displayFolder="" count="0" memberValueDatatype="20" unbalanced="0"/>
    <cacheHierarchy uniqueName="[Enrollment_Data_2023_2026].[Column12]" caption="Column12" attribute="1" defaultMemberUniqueName="[Enrollment_Data_2023_2026].[Column12].[All]" allUniqueName="[Enrollment_Data_2023_2026].[Column12].[All]" dimensionUniqueName="[Enrollment_Data_2023_2026]" displayFolder="" count="0" memberValueDatatype="130" unbalanced="0"/>
    <cacheHierarchy uniqueName="[Enrollment_Data_2023_2026].[Column13]" caption="Column13" attribute="1" defaultMemberUniqueName="[Enrollment_Data_2023_2026].[Column13].[All]" allUniqueName="[Enrollment_Data_2023_2026].[Column13].[All]" dimensionUniqueName="[Enrollment_Data_2023_2026]" displayFolder="" count="0" memberValueDatatype="130" unbalanced="0"/>
    <cacheHierarchy uniqueName="[Enrollment_Data_2023_2026].[Fill-Up_Date (Year)]" caption="Fill-Up_Date (Year)" attribute="1" defaultMemberUniqueName="[Enrollment_Data_2023_2026].[Fill-Up_Date (Year)].[All]" allUniqueName="[Enrollment_Data_2023_2026].[Fill-Up_Date (Year)].[All]" dimensionUniqueName="[Enrollment_Data_2023_2026]" displayFolder="" count="0" memberValueDatatype="130" unbalanced="0"/>
    <cacheHierarchy uniqueName="[Enrollment_Data_2023_2026].[Fill-Up_Date (Quarter)]" caption="Fill-Up_Date (Quarter)" attribute="1" defaultMemberUniqueName="[Enrollment_Data_2023_2026].[Fill-Up_Date (Quarter)].[All]" allUniqueName="[Enrollment_Data_2023_2026].[Fill-Up_Date (Quarter)].[All]" dimensionUniqueName="[Enrollment_Data_2023_2026]" displayFolder="" count="0" memberValueDatatype="130" unbalanced="0"/>
    <cacheHierarchy uniqueName="[Enrollment_Data_2023_2026].[Fill-Up_Date (Month)]" caption="Fill-Up_Date (Month)" attribute="1" defaultMemberUniqueName="[Enrollment_Data_2023_2026].[Fill-Up_Date (Month)].[All]" allUniqueName="[Enrollment_Data_2023_2026].[Fill-Up_Date (Month)].[All]" dimensionUniqueName="[Enrollment_Data_2023_2026]" displayFolder="" count="0" memberValueDatatype="130" unbalanced="0"/>
    <cacheHierarchy uniqueName="[Enrollment_Data_2023_2026].[First_Inquire_Date (Year)]" caption="First_Inquire_Date (Year)" attribute="1" defaultMemberUniqueName="[Enrollment_Data_2023_2026].[First_Inquire_Date (Year)].[All]" allUniqueName="[Enrollment_Data_2023_2026].[First_Inquire_Date (Year)].[All]" dimensionUniqueName="[Enrollment_Data_2023_2026]" displayFolder="" count="0" memberValueDatatype="130" unbalanced="0"/>
    <cacheHierarchy uniqueName="[Enrollment_Data_2023_2026].[First_Inquire_Date (Quarter)]" caption="First_Inquire_Date (Quarter)" attribute="1" defaultMemberUniqueName="[Enrollment_Data_2023_2026].[First_Inquire_Date (Quarter)].[All]" allUniqueName="[Enrollment_Data_2023_2026].[First_Inquire_Date (Quarter)].[All]" dimensionUniqueName="[Enrollment_Data_2023_2026]" displayFolder="" count="0" memberValueDatatype="130" unbalanced="0"/>
    <cacheHierarchy uniqueName="[Enrollment_Data_2023_2026].[First_Inquire_Date (Month)]" caption="First_Inquire_Date (Month)" attribute="1" defaultMemberUniqueName="[Enrollment_Data_2023_2026].[First_Inquire_Date (Month)].[All]" allUniqueName="[Enrollment_Data_2023_2026].[First_Inquire_Date (Month)].[All]" dimensionUniqueName="[Enrollment_Data_2023_2026]" displayFolder="" count="0" memberValueDatatype="130" unbalanced="0"/>
    <cacheHierarchy uniqueName="[Enrollment_Data_2023_2026].[Days Fill-Up to Enrolled]" caption="Days Fill-Up to Enrolled" attribute="1" defaultMemberUniqueName="[Enrollment_Data_2023_2026].[Days Fill-Up to Enrolled].[All]" allUniqueName="[Enrollment_Data_2023_2026].[Days Fill-Up to Enrolled].[All]" dimensionUniqueName="[Enrollment_Data_2023_2026]" displayFolder="" count="0" memberValueDatatype="20" unbalanced="0"/>
    <cacheHierarchy uniqueName="[Enrollment_Data_2023_2026].[First_Follow-Up_Date (Year)]" caption="First_Follow-Up_Date (Year)" attribute="1" defaultMemberUniqueName="[Enrollment_Data_2023_2026].[First_Follow-Up_Date (Year)].[All]" allUniqueName="[Enrollment_Data_2023_2026].[First_Follow-Up_Date (Year)].[All]" dimensionUniqueName="[Enrollment_Data_2023_2026]" displayFolder="" count="0" memberValueDatatype="130" unbalanced="0"/>
    <cacheHierarchy uniqueName="[Enrollment_Data_2023_2026].[First_Follow-Up_Date (Quarter)]" caption="First_Follow-Up_Date (Quarter)" attribute="1" defaultMemberUniqueName="[Enrollment_Data_2023_2026].[First_Follow-Up_Date (Quarter)].[All]" allUniqueName="[Enrollment_Data_2023_2026].[First_Follow-Up_Date (Quarter)].[All]" dimensionUniqueName="[Enrollment_Data_2023_2026]" displayFolder="" count="0" memberValueDatatype="130" unbalanced="0"/>
    <cacheHierarchy uniqueName="[Enrollment_Data_2023_2026].[First_Follow-Up_Date (Month)]" caption="First_Follow-Up_Date (Month)" attribute="1" defaultMemberUniqueName="[Enrollment_Data_2023_2026].[First_Follow-Up_Date (Month)].[All]" allUniqueName="[Enrollment_Data_2023_2026].[First_Follow-Up_Date (Month)].[All]" dimensionUniqueName="[Enrollment_Data_2023_2026]" displayFolder="" count="0" memberValueDatatype="130" unbalanced="0"/>
    <cacheHierarchy uniqueName="[Enrollment_Data_2023_2026].[Fill-Up_Date (Month Index)]" caption="Fill-Up_Date (Month Index)" attribute="1" defaultMemberUniqueName="[Enrollment_Data_2023_2026].[Fill-Up_Date (Month Index)].[All]" allUniqueName="[Enrollment_Data_2023_2026].[Fill-Up_Date (Month Index)].[All]" dimensionUniqueName="[Enrollment_Data_2023_2026]" displayFolder="" count="0" memberValueDatatype="20" unbalanced="0" hidden="1"/>
    <cacheHierarchy uniqueName="[Enrollment_Data_2023_2026].[First_Follow-Up_Date (Month Index)]" caption="First_Follow-Up_Date (Month Index)" attribute="1" defaultMemberUniqueName="[Enrollment_Data_2023_2026].[First_Follow-Up_Date (Month Index)].[All]" allUniqueName="[Enrollment_Data_2023_2026].[First_Follow-Up_Date (Month Index)].[All]" dimensionUniqueName="[Enrollment_Data_2023_2026]" displayFolder="" count="0" memberValueDatatype="20" unbalanced="0" hidden="1"/>
    <cacheHierarchy uniqueName="[Enrollment_Data_2023_2026].[First_Inquire_Date (Month Index)]" caption="First_Inquire_Date (Month Index)" attribute="1" defaultMemberUniqueName="[Enrollment_Data_2023_2026].[First_Inquire_Date (Month Index)].[All]" allUniqueName="[Enrollment_Data_2023_2026].[First_Inquire_Date (Month Index)].[All]" dimensionUniqueName="[Enrollment_Data_2023_2026]" displayFolder="" count="0" memberValueDatatype="20" unbalanced="0" hidden="1"/>
    <cacheHierarchy uniqueName="[Measures].[Avg._day_inquire_to_fill-up]" caption="Avg._day_inquire_to_fill-up" measure="1" displayFolder="" measureGroup="Calculation" count="0"/>
    <cacheHierarchy uniqueName="[Measures].[Avg._day_Inquire_to_Enrolled]" caption="Avg._day_Inquire_to_Enrolled" measure="1" displayFolder="" measureGroup="Calculation" count="0"/>
    <cacheHierarchy uniqueName="[Measures].[Avg._Day_fill-up_to_enrolled]" caption="Avg._Day_fill-up_to_enrolled" measure="1" displayFolder="" measureGroup="Calculation" count="0"/>
    <cacheHierarchy uniqueName="[Measures].[First Follow-up (Enrolled)]" caption="First Follow-up (Enrolled)" measure="1" displayFolder="" measureGroup="Calculation" count="0"/>
    <cacheHierarchy uniqueName="[Measures].[Second Follow up ( Enrolled)]" caption="Second Follow up ( Enrolled)" measure="1" displayFolder="" measureGroup="Calculation" count="0"/>
    <cacheHierarchy uniqueName="[Measures].[Enrolled W/O Follow up]" caption="Enrolled W/O Follow up" measure="1" displayFolder="" measureGroup="Calculation" count="0"/>
    <cacheHierarchy uniqueName="[Measures].[Total Enrolled]" caption="Total Enrolled" measure="1" displayFolder="" measureGroup="Calculation" count="0" oneField="1">
      <fieldsUsage count="1">
        <fieldUsage x="3"/>
      </fieldsUsage>
    </cacheHierarchy>
    <cacheHierarchy uniqueName="[Measures].[__XL_Count Enrollment_Data_2023_2026]" caption="__XL_Count Enrollment_Data_2023_2026" measure="1" displayFolder="" measureGroup="Enrollment_Data_2023_2026" count="0" hidden="1"/>
    <cacheHierarchy uniqueName="[Measures].[__XL_Count Date]" caption="__XL_Count Date" measure="1" displayFolder="" measureGroup="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Count of Fill-Up_Date]" caption="Count of Fill-Up_Date" measure="1" displayFolder="" measureGroup="Enrollment_Data_2023_2026" count="0" hidden="1">
      <extLst>
        <ext xmlns:x15="http://schemas.microsoft.com/office/spreadsheetml/2010/11/main" uri="{B97F6D7D-B522-45F9-BDA1-12C45D357490}">
          <x15:cacheHierarchy aggregatedColumn="12"/>
        </ext>
      </extLst>
    </cacheHierarchy>
    <cacheHierarchy uniqueName="[Measures].[Count of Enrolled_Date]" caption="Count of Enrolled_Date" measure="1" displayFolder="" measureGroup="Enrollment_Data_2023_2026" count="0" hidden="1">
      <extLst>
        <ext xmlns:x15="http://schemas.microsoft.com/office/spreadsheetml/2010/11/main" uri="{B97F6D7D-B522-45F9-BDA1-12C45D357490}">
          <x15:cacheHierarchy aggregatedColumn="13"/>
        </ext>
      </extLst>
    </cacheHierarchy>
    <cacheHierarchy uniqueName="[Measures].[Count of First_Inquire_Date]" caption="Count of First_Inquire_Date" measure="1" displayFolder="" measureGroup="Enrollment_Data_2023_2026" count="0" hidden="1">
      <extLst>
        <ext xmlns:x15="http://schemas.microsoft.com/office/spreadsheetml/2010/11/main" uri="{B97F6D7D-B522-45F9-BDA1-12C45D357490}">
          <x15:cacheHierarchy aggregatedColumn="11"/>
        </ext>
      </extLst>
    </cacheHierarchy>
    <cacheHierarchy uniqueName="[Measures].[Sum of Days_Inquiry_to_Fill]" caption="Sum of Days_Inquiry_to_Fill" measure="1" displayFolder="" measureGroup="Enrollment_Data_2023_2026" count="0" hidden="1">
      <extLst>
        <ext xmlns:x15="http://schemas.microsoft.com/office/spreadsheetml/2010/11/main" uri="{B97F6D7D-B522-45F9-BDA1-12C45D357490}">
          <x15:cacheHierarchy aggregatedColumn="17"/>
        </ext>
      </extLst>
    </cacheHierarchy>
    <cacheHierarchy uniqueName="[Measures].[Average of Days_Inquiry_to_Fill]" caption="Average of Days_Inquiry_to_Fill" measure="1" displayFolder="" measureGroup="Enrollment_Data_2023_2026" count="0" hidden="1">
      <extLst>
        <ext xmlns:x15="http://schemas.microsoft.com/office/spreadsheetml/2010/11/main" uri="{B97F6D7D-B522-45F9-BDA1-12C45D357490}">
          <x15:cacheHierarchy aggregatedColumn="17"/>
        </ext>
      </extLst>
    </cacheHierarchy>
    <cacheHierarchy uniqueName="[Measures].[Count of First_Follow-Up_Date]" caption="Count of First_Follow-Up_Date" measure="1" displayFolder="" measureGroup="Enrollment_Data_2023_2026" count="0" hidden="1">
      <extLst>
        <ext xmlns:x15="http://schemas.microsoft.com/office/spreadsheetml/2010/11/main" uri="{B97F6D7D-B522-45F9-BDA1-12C45D357490}">
          <x15:cacheHierarchy aggregatedColumn="14"/>
        </ext>
      </extLst>
    </cacheHierarchy>
    <cacheHierarchy uniqueName="[Measures].[Count of Second_Follow-Up_Date]" caption="Count of Second_Follow-Up_Date" measure="1" displayFolder="" measureGroup="Enrollment_Data_2023_2026"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Enrollment_Data_2023_2026"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4">
    <dimension name="Calculation" uniqueName="[Calculation]" caption="Calculation"/>
    <dimension name="Date" uniqueName="[Date]" caption="Date"/>
    <dimension name="Enrollment_Data_2023_2026" uniqueName="[Enrollment_Data_2023_2026]" caption="Enrollment_Data_2023_2026"/>
    <dimension measure="1" name="Measures" uniqueName="[Measures]" caption="Measures"/>
  </dimensions>
  <measureGroups count="3">
    <measureGroup name="Calculation" caption="Calculation"/>
    <measureGroup name="Date" caption="Date"/>
    <measureGroup name="Enrollment_Data_2023_2026" caption="Enrollment_Data_2023_2026"/>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30.910201157407" backgroundQuery="1" createdVersion="8" refreshedVersion="8" minRefreshableVersion="3" recordCount="0" supportSubquery="1" supportAdvancedDrill="1" xr:uid="{7A080836-E5D2-42FD-A0E2-4924AC072B44}">
  <cacheSource type="external" connectionId="4"/>
  <cacheFields count="4">
    <cacheField name="[Date].[Year].[Year]" caption="Year" numFmtId="0" hierarchy="2" level="1">
      <sharedItems containsSemiMixedTypes="0" containsNonDate="0" containsString="0"/>
    </cacheField>
    <cacheField name="[Measures].[Count of Name]" caption="Count of Name" numFmtId="0" hierarchy="52" level="32767"/>
    <cacheField name="[Enrollment_Data_2023_2026].[Channel].[Channel]" caption="Channel" numFmtId="0" hierarchy="10" level="1">
      <sharedItems count="6">
        <s v="Facebook"/>
        <s v="Instagram"/>
        <s v="Referrals"/>
        <s v="School Tour"/>
        <s v="Tiktok"/>
        <s v="Walk-in"/>
      </sharedItems>
    </cacheField>
    <cacheField name="[Enrollment_Data_2023_2026].[Status].[Status]" caption="Status" numFmtId="0" hierarchy="16" level="1">
      <sharedItems count="3">
        <s v="Enrolled"/>
        <s v="Filled"/>
        <s v="Inquired"/>
      </sharedItems>
    </cacheField>
  </cacheFields>
  <cacheHierarchies count="53">
    <cacheHierarchy uniqueName="[Calculation].[Measures]" caption="Measures" attribute="1" defaultMemberUniqueName="[Calculation].[Measures].[All]" allUniqueName="[Calculation].[Measures].[All]" dimensionUniqueName="[Calculation]" displayFolder="" count="0" memberValueDatatype="130" unbalanced="0"/>
    <cacheHierarchy uniqueName="[Date].[First_Inquire_Date]" caption="First_Inquire_Date" attribute="1" time="1" defaultMemberUniqueName="[Date].[First_Inquire_Date].[All]" allUniqueName="[Date].[First_Inquire_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0"/>
      </fieldsUsage>
    </cacheHierarchy>
    <cacheHierarchy uniqueName="[Date].[Month]" caption="Month" attribute="1" defaultMemberUniqueName="[Date].[Month].[All]" allUniqueName="[Date].[Month].[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Day_name]" caption="Day_name" attribute="1" defaultMemberUniqueName="[Date].[Day_name].[All]" allUniqueName="[Date].[Day_name].[All]" dimensionUniqueName="[Date]" displayFolder="" count="0" memberValueDatatype="130" unbalanced="0"/>
    <cacheHierarchy uniqueName="[Date].[Weektype]" caption="Weektype" attribute="1" defaultMemberUniqueName="[Date].[Weektype].[All]" allUniqueName="[Date].[Weektype].[All]" dimensionUniqueName="[Date]" displayFolder="" count="2" memberValueDatatype="130" unbalanced="0"/>
    <cacheHierarchy uniqueName="[Enrollment_Data_2023_2026].[Name]" caption="Name" attribute="1" defaultMemberUniqueName="[Enrollment_Data_2023_2026].[Name].[All]" allUniqueName="[Enrollment_Data_2023_2026].[Name].[All]" dimensionUniqueName="[Enrollment_Data_2023_2026]" displayFolder="" count="0" memberValueDatatype="130" unbalanced="0"/>
    <cacheHierarchy uniqueName="[Enrollment_Data_2023_2026].[Student_Level]" caption="Student_Level" attribute="1" defaultMemberUniqueName="[Enrollment_Data_2023_2026].[Student_Level].[All]" allUniqueName="[Enrollment_Data_2023_2026].[Student_Level].[All]" dimensionUniqueName="[Enrollment_Data_2023_2026]" displayFolder="" count="2" memberValueDatatype="130" unbalanced="0"/>
    <cacheHierarchy uniqueName="[Enrollment_Data_2023_2026].[Channel]" caption="Channel" attribute="1" defaultMemberUniqueName="[Enrollment_Data_2023_2026].[Channel].[All]" allUniqueName="[Enrollment_Data_2023_2026].[Channel].[All]" dimensionUniqueName="[Enrollment_Data_2023_2026]" displayFolder="" count="2" memberValueDatatype="130" unbalanced="0">
      <fieldsUsage count="2">
        <fieldUsage x="-1"/>
        <fieldUsage x="2"/>
      </fieldsUsage>
    </cacheHierarchy>
    <cacheHierarchy uniqueName="[Enrollment_Data_2023_2026].[First_Inquire_Date]" caption="First_Inquire_Date" attribute="1" time="1" defaultMemberUniqueName="[Enrollment_Data_2023_2026].[First_Inquire_Date].[All]" allUniqueName="[Enrollment_Data_2023_2026].[First_Inquire_Date].[All]" dimensionUniqueName="[Enrollment_Data_2023_2026]" displayFolder="" count="2" memberValueDatatype="7" unbalanced="0"/>
    <cacheHierarchy uniqueName="[Enrollment_Data_2023_2026].[Fill-Up_Date]" caption="Fill-Up_Date" attribute="1" time="1" defaultMemberUniqueName="[Enrollment_Data_2023_2026].[Fill-Up_Date].[All]" allUniqueName="[Enrollment_Data_2023_2026].[Fill-Up_Date].[All]" dimensionUniqueName="[Enrollment_Data_2023_2026]" displayFolder="" count="0" memberValueDatatype="7" unbalanced="0"/>
    <cacheHierarchy uniqueName="[Enrollment_Data_2023_2026].[Enrolled_Date]" caption="Enrolled_Date" attribute="1" time="1" defaultMemberUniqueName="[Enrollment_Data_2023_2026].[Enrolled_Date].[All]" allUniqueName="[Enrollment_Data_2023_2026].[Enrolled_Date].[All]" dimensionUniqueName="[Enrollment_Data_2023_2026]" displayFolder="" count="0" memberValueDatatype="7" unbalanced="0"/>
    <cacheHierarchy uniqueName="[Enrollment_Data_2023_2026].[First_Follow-Up_Date]" caption="First_Follow-Up_Date" attribute="1" time="1" defaultMemberUniqueName="[Enrollment_Data_2023_2026].[First_Follow-Up_Date].[All]" allUniqueName="[Enrollment_Data_2023_2026].[First_Follow-Up_Date].[All]" dimensionUniqueName="[Enrollment_Data_2023_2026]" displayFolder="" count="0" memberValueDatatype="7" unbalanced="0"/>
    <cacheHierarchy uniqueName="[Enrollment_Data_2023_2026].[Second_Follow-Up_Date]" caption="Second_Follow-Up_Date" attribute="1" time="1" defaultMemberUniqueName="[Enrollment_Data_2023_2026].[Second_Follow-Up_Date].[All]" allUniqueName="[Enrollment_Data_2023_2026].[Second_Follow-Up_Date].[All]" dimensionUniqueName="[Enrollment_Data_2023_2026]" displayFolder="" count="0" memberValueDatatype="7" unbalanced="0"/>
    <cacheHierarchy uniqueName="[Enrollment_Data_2023_2026].[Status]" caption="Status" attribute="1" defaultMemberUniqueName="[Enrollment_Data_2023_2026].[Status].[All]" allUniqueName="[Enrollment_Data_2023_2026].[Status].[All]" dimensionUniqueName="[Enrollment_Data_2023_2026]" displayFolder="" count="2" memberValueDatatype="130" unbalanced="0">
      <fieldsUsage count="2">
        <fieldUsage x="-1"/>
        <fieldUsage x="3"/>
      </fieldsUsage>
    </cacheHierarchy>
    <cacheHierarchy uniqueName="[Enrollment_Data_2023_2026].[Days_Inquiry_to_Fill]" caption="Days_Inquiry_to_Fill" attribute="1" defaultMemberUniqueName="[Enrollment_Data_2023_2026].[Days_Inquiry_to_Fill].[All]" allUniqueName="[Enrollment_Data_2023_2026].[Days_Inquiry_to_Fill].[All]" dimensionUniqueName="[Enrollment_Data_2023_2026]" displayFolder="" count="0" memberValueDatatype="20" unbalanced="0"/>
    <cacheHierarchy uniqueName="[Enrollment_Data_2023_2026].[Days_Inquiry_to_Enroll]" caption="Days_Inquiry_to_Enroll" attribute="1" defaultMemberUniqueName="[Enrollment_Data_2023_2026].[Days_Inquiry_to_Enroll].[All]" allUniqueName="[Enrollment_Data_2023_2026].[Days_Inquiry_to_Enroll].[All]" dimensionUniqueName="[Enrollment_Data_2023_2026]" displayFolder="" count="0" memberValueDatatype="20" unbalanced="0"/>
    <cacheHierarchy uniqueName="[Enrollment_Data_2023_2026].[Column12]" caption="Column12" attribute="1" defaultMemberUniqueName="[Enrollment_Data_2023_2026].[Column12].[All]" allUniqueName="[Enrollment_Data_2023_2026].[Column12].[All]" dimensionUniqueName="[Enrollment_Data_2023_2026]" displayFolder="" count="0" memberValueDatatype="130" unbalanced="0"/>
    <cacheHierarchy uniqueName="[Enrollment_Data_2023_2026].[Column13]" caption="Column13" attribute="1" defaultMemberUniqueName="[Enrollment_Data_2023_2026].[Column13].[All]" allUniqueName="[Enrollment_Data_2023_2026].[Column13].[All]" dimensionUniqueName="[Enrollment_Data_2023_2026]" displayFolder="" count="0" memberValueDatatype="130" unbalanced="0"/>
    <cacheHierarchy uniqueName="[Enrollment_Data_2023_2026].[Fill-Up_Date (Year)]" caption="Fill-Up_Date (Year)" attribute="1" defaultMemberUniqueName="[Enrollment_Data_2023_2026].[Fill-Up_Date (Year)].[All]" allUniqueName="[Enrollment_Data_2023_2026].[Fill-Up_Date (Year)].[All]" dimensionUniqueName="[Enrollment_Data_2023_2026]" displayFolder="" count="0" memberValueDatatype="130" unbalanced="0"/>
    <cacheHierarchy uniqueName="[Enrollment_Data_2023_2026].[Fill-Up_Date (Quarter)]" caption="Fill-Up_Date (Quarter)" attribute="1" defaultMemberUniqueName="[Enrollment_Data_2023_2026].[Fill-Up_Date (Quarter)].[All]" allUniqueName="[Enrollment_Data_2023_2026].[Fill-Up_Date (Quarter)].[All]" dimensionUniqueName="[Enrollment_Data_2023_2026]" displayFolder="" count="0" memberValueDatatype="130" unbalanced="0"/>
    <cacheHierarchy uniqueName="[Enrollment_Data_2023_2026].[Fill-Up_Date (Month)]" caption="Fill-Up_Date (Month)" attribute="1" defaultMemberUniqueName="[Enrollment_Data_2023_2026].[Fill-Up_Date (Month)].[All]" allUniqueName="[Enrollment_Data_2023_2026].[Fill-Up_Date (Month)].[All]" dimensionUniqueName="[Enrollment_Data_2023_2026]" displayFolder="" count="0" memberValueDatatype="130" unbalanced="0"/>
    <cacheHierarchy uniqueName="[Enrollment_Data_2023_2026].[First_Inquire_Date (Year)]" caption="First_Inquire_Date (Year)" attribute="1" defaultMemberUniqueName="[Enrollment_Data_2023_2026].[First_Inquire_Date (Year)].[All]" allUniqueName="[Enrollment_Data_2023_2026].[First_Inquire_Date (Year)].[All]" dimensionUniqueName="[Enrollment_Data_2023_2026]" displayFolder="" count="0" memberValueDatatype="130" unbalanced="0"/>
    <cacheHierarchy uniqueName="[Enrollment_Data_2023_2026].[First_Inquire_Date (Quarter)]" caption="First_Inquire_Date (Quarter)" attribute="1" defaultMemberUniqueName="[Enrollment_Data_2023_2026].[First_Inquire_Date (Quarter)].[All]" allUniqueName="[Enrollment_Data_2023_2026].[First_Inquire_Date (Quarter)].[All]" dimensionUniqueName="[Enrollment_Data_2023_2026]" displayFolder="" count="0" memberValueDatatype="130" unbalanced="0"/>
    <cacheHierarchy uniqueName="[Enrollment_Data_2023_2026].[First_Inquire_Date (Month)]" caption="First_Inquire_Date (Month)" attribute="1" defaultMemberUniqueName="[Enrollment_Data_2023_2026].[First_Inquire_Date (Month)].[All]" allUniqueName="[Enrollment_Data_2023_2026].[First_Inquire_Date (Month)].[All]" dimensionUniqueName="[Enrollment_Data_2023_2026]" displayFolder="" count="2" memberValueDatatype="130" unbalanced="0"/>
    <cacheHierarchy uniqueName="[Enrollment_Data_2023_2026].[Days Fill-Up to Enrolled]" caption="Days Fill-Up to Enrolled" attribute="1" defaultMemberUniqueName="[Enrollment_Data_2023_2026].[Days Fill-Up to Enrolled].[All]" allUniqueName="[Enrollment_Data_2023_2026].[Days Fill-Up to Enrolled].[All]" dimensionUniqueName="[Enrollment_Data_2023_2026]" displayFolder="" count="0" memberValueDatatype="20" unbalanced="0"/>
    <cacheHierarchy uniqueName="[Enrollment_Data_2023_2026].[First_Follow-Up_Date (Year)]" caption="First_Follow-Up_Date (Year)" attribute="1" defaultMemberUniqueName="[Enrollment_Data_2023_2026].[First_Follow-Up_Date (Year)].[All]" allUniqueName="[Enrollment_Data_2023_2026].[First_Follow-Up_Date (Year)].[All]" dimensionUniqueName="[Enrollment_Data_2023_2026]" displayFolder="" count="0" memberValueDatatype="130" unbalanced="0"/>
    <cacheHierarchy uniqueName="[Enrollment_Data_2023_2026].[First_Follow-Up_Date (Quarter)]" caption="First_Follow-Up_Date (Quarter)" attribute="1" defaultMemberUniqueName="[Enrollment_Data_2023_2026].[First_Follow-Up_Date (Quarter)].[All]" allUniqueName="[Enrollment_Data_2023_2026].[First_Follow-Up_Date (Quarter)].[All]" dimensionUniqueName="[Enrollment_Data_2023_2026]" displayFolder="" count="0" memberValueDatatype="130" unbalanced="0"/>
    <cacheHierarchy uniqueName="[Enrollment_Data_2023_2026].[First_Follow-Up_Date (Month)]" caption="First_Follow-Up_Date (Month)" attribute="1" defaultMemberUniqueName="[Enrollment_Data_2023_2026].[First_Follow-Up_Date (Month)].[All]" allUniqueName="[Enrollment_Data_2023_2026].[First_Follow-Up_Date (Month)].[All]" dimensionUniqueName="[Enrollment_Data_2023_2026]" displayFolder="" count="0" memberValueDatatype="130" unbalanced="0"/>
    <cacheHierarchy uniqueName="[Enrollment_Data_2023_2026].[Fill-Up_Date (Month Index)]" caption="Fill-Up_Date (Month Index)" attribute="1" defaultMemberUniqueName="[Enrollment_Data_2023_2026].[Fill-Up_Date (Month Index)].[All]" allUniqueName="[Enrollment_Data_2023_2026].[Fill-Up_Date (Month Index)].[All]" dimensionUniqueName="[Enrollment_Data_2023_2026]" displayFolder="" count="0" memberValueDatatype="20" unbalanced="0" hidden="1"/>
    <cacheHierarchy uniqueName="[Enrollment_Data_2023_2026].[First_Follow-Up_Date (Month Index)]" caption="First_Follow-Up_Date (Month Index)" attribute="1" defaultMemberUniqueName="[Enrollment_Data_2023_2026].[First_Follow-Up_Date (Month Index)].[All]" allUniqueName="[Enrollment_Data_2023_2026].[First_Follow-Up_Date (Month Index)].[All]" dimensionUniqueName="[Enrollment_Data_2023_2026]" displayFolder="" count="0" memberValueDatatype="20" unbalanced="0" hidden="1"/>
    <cacheHierarchy uniqueName="[Enrollment_Data_2023_2026].[First_Inquire_Date (Month Index)]" caption="First_Inquire_Date (Month Index)" attribute="1" defaultMemberUniqueName="[Enrollment_Data_2023_2026].[First_Inquire_Date (Month Index)].[All]" allUniqueName="[Enrollment_Data_2023_2026].[First_Inquire_Date (Month Index)].[All]" dimensionUniqueName="[Enrollment_Data_2023_2026]" displayFolder="" count="0" memberValueDatatype="20" unbalanced="0" hidden="1"/>
    <cacheHierarchy uniqueName="[Measures].[Avg._day_inquire_to_fill-up]" caption="Avg._day_inquire_to_fill-up" measure="1" displayFolder="" measureGroup="Calculation" count="0"/>
    <cacheHierarchy uniqueName="[Measures].[Avg._day_Inquire_to_Enrolled]" caption="Avg._day_Inquire_to_Enrolled" measure="1" displayFolder="" measureGroup="Calculation" count="0"/>
    <cacheHierarchy uniqueName="[Measures].[Avg._Day_fill-up_to_enrolled]" caption="Avg._Day_fill-up_to_enrolled" measure="1" displayFolder="" measureGroup="Calculation" count="0"/>
    <cacheHierarchy uniqueName="[Measures].[First Follow-up (Enrolled)]" caption="First Follow-up (Enrolled)" measure="1" displayFolder="" measureGroup="Calculation" count="0"/>
    <cacheHierarchy uniqueName="[Measures].[Second Follow up ( Enrolled)]" caption="Second Follow up ( Enrolled)" measure="1" displayFolder="" measureGroup="Calculation" count="0"/>
    <cacheHierarchy uniqueName="[Measures].[Enrolled W/O Follow up]" caption="Enrolled W/O Follow up" measure="1" displayFolder="" measureGroup="Calculation" count="0"/>
    <cacheHierarchy uniqueName="[Measures].[Total Enrolled]" caption="Total Enrolled" measure="1" displayFolder="" measureGroup="Calculation" count="0"/>
    <cacheHierarchy uniqueName="[Measures].[__XL_Count Enrollment_Data_2023_2026]" caption="__XL_Count Enrollment_Data_2023_2026" measure="1" displayFolder="" measureGroup="Enrollment_Data_2023_2026" count="0" hidden="1"/>
    <cacheHierarchy uniqueName="[Measures].[__XL_Count Date]" caption="__XL_Count Date" measure="1" displayFolder="" measureGroup="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Count of Fill-Up_Date]" caption="Count of Fill-Up_Date" measure="1" displayFolder="" measureGroup="Enrollment_Data_2023_2026" count="0" hidden="1">
      <extLst>
        <ext xmlns:x15="http://schemas.microsoft.com/office/spreadsheetml/2010/11/main" uri="{B97F6D7D-B522-45F9-BDA1-12C45D357490}">
          <x15:cacheHierarchy aggregatedColumn="12"/>
        </ext>
      </extLst>
    </cacheHierarchy>
    <cacheHierarchy uniqueName="[Measures].[Count of Enrolled_Date]" caption="Count of Enrolled_Date" measure="1" displayFolder="" measureGroup="Enrollment_Data_2023_2026" count="0" hidden="1">
      <extLst>
        <ext xmlns:x15="http://schemas.microsoft.com/office/spreadsheetml/2010/11/main" uri="{B97F6D7D-B522-45F9-BDA1-12C45D357490}">
          <x15:cacheHierarchy aggregatedColumn="13"/>
        </ext>
      </extLst>
    </cacheHierarchy>
    <cacheHierarchy uniqueName="[Measures].[Count of First_Inquire_Date]" caption="Count of First_Inquire_Date" measure="1" displayFolder="" measureGroup="Enrollment_Data_2023_2026" count="0" hidden="1">
      <extLst>
        <ext xmlns:x15="http://schemas.microsoft.com/office/spreadsheetml/2010/11/main" uri="{B97F6D7D-B522-45F9-BDA1-12C45D357490}">
          <x15:cacheHierarchy aggregatedColumn="11"/>
        </ext>
      </extLst>
    </cacheHierarchy>
    <cacheHierarchy uniqueName="[Measures].[Sum of Days_Inquiry_to_Fill]" caption="Sum of Days_Inquiry_to_Fill" measure="1" displayFolder="" measureGroup="Enrollment_Data_2023_2026" count="0" hidden="1">
      <extLst>
        <ext xmlns:x15="http://schemas.microsoft.com/office/spreadsheetml/2010/11/main" uri="{B97F6D7D-B522-45F9-BDA1-12C45D357490}">
          <x15:cacheHierarchy aggregatedColumn="17"/>
        </ext>
      </extLst>
    </cacheHierarchy>
    <cacheHierarchy uniqueName="[Measures].[Average of Days_Inquiry_to_Fill]" caption="Average of Days_Inquiry_to_Fill" measure="1" displayFolder="" measureGroup="Enrollment_Data_2023_2026" count="0" hidden="1">
      <extLst>
        <ext xmlns:x15="http://schemas.microsoft.com/office/spreadsheetml/2010/11/main" uri="{B97F6D7D-B522-45F9-BDA1-12C45D357490}">
          <x15:cacheHierarchy aggregatedColumn="17"/>
        </ext>
      </extLst>
    </cacheHierarchy>
    <cacheHierarchy uniqueName="[Measures].[Count of First_Follow-Up_Date]" caption="Count of First_Follow-Up_Date" measure="1" displayFolder="" measureGroup="Enrollment_Data_2023_2026" count="0" hidden="1">
      <extLst>
        <ext xmlns:x15="http://schemas.microsoft.com/office/spreadsheetml/2010/11/main" uri="{B97F6D7D-B522-45F9-BDA1-12C45D357490}">
          <x15:cacheHierarchy aggregatedColumn="14"/>
        </ext>
      </extLst>
    </cacheHierarchy>
    <cacheHierarchy uniqueName="[Measures].[Count of Second_Follow-Up_Date]" caption="Count of Second_Follow-Up_Date" measure="1" displayFolder="" measureGroup="Enrollment_Data_2023_2026"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Enrollment_Data_2023_2026"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4">
    <dimension name="Calculation" uniqueName="[Calculation]" caption="Calculation"/>
    <dimension name="Date" uniqueName="[Date]" caption="Date"/>
    <dimension name="Enrollment_Data_2023_2026" uniqueName="[Enrollment_Data_2023_2026]" caption="Enrollment_Data_2023_2026"/>
    <dimension measure="1" name="Measures" uniqueName="[Measures]" caption="Measures"/>
  </dimensions>
  <measureGroups count="3">
    <measureGroup name="Calculation" caption="Calculation"/>
    <measureGroup name="Date" caption="Date"/>
    <measureGroup name="Enrollment_Data_2023_2026" caption="Enrollment_Data_2023_2026"/>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30.913010763892" backgroundQuery="1" createdVersion="8" refreshedVersion="8" minRefreshableVersion="3" recordCount="0" supportSubquery="1" supportAdvancedDrill="1" xr:uid="{AADB7867-F3DA-4B9E-BB2E-08966839AD8A}">
  <cacheSource type="external" connectionId="4"/>
  <cacheFields count="4">
    <cacheField name="[Measures].[Count of Name]" caption="Count of Name" numFmtId="0" hierarchy="52" level="32767"/>
    <cacheField name="[Enrollment_Data_2023_2026].[Channel].[Channel]" caption="Channel" numFmtId="0" hierarchy="10" level="1">
      <sharedItems count="6">
        <s v="Facebook"/>
        <s v="Instagram"/>
        <s v="Referrals"/>
        <s v="School Tour"/>
        <s v="Tiktok"/>
        <s v="Walk-in"/>
      </sharedItems>
    </cacheField>
    <cacheField name="[Enrollment_Data_2023_2026].[Student_Level].[Student_Level]" caption="Student_Level" numFmtId="0" hierarchy="9" level="1">
      <sharedItems count="13">
        <s v="GRADE-I"/>
        <s v="GRADE-II"/>
        <s v="GRADE-III"/>
        <s v="GRADE-IV"/>
        <s v="GRADE-IX"/>
        <s v="GRADE-V"/>
        <s v="GRADE-VI"/>
        <s v="GRADE-VIII"/>
        <s v="GRADE-X"/>
        <s v="GRADE-XI"/>
        <s v="GRADE-XII"/>
        <s v="KINDER-I"/>
        <s v="KINDER-II"/>
      </sharedItems>
    </cacheField>
    <cacheField name="[Measures].[Total Enrolled]" caption="Total Enrolled" numFmtId="0" hierarchy="40" level="32767"/>
  </cacheFields>
  <cacheHierarchies count="53">
    <cacheHierarchy uniqueName="[Calculation].[Measures]" caption="Measures" attribute="1" defaultMemberUniqueName="[Calculation].[Measures].[All]" allUniqueName="[Calculation].[Measures].[All]" dimensionUniqueName="[Calculation]" displayFolder="" count="0" memberValueDatatype="130" unbalanced="0"/>
    <cacheHierarchy uniqueName="[Date].[First_Inquire_Date]" caption="First_Inquire_Date" attribute="1" time="1" defaultMemberUniqueName="[Date].[First_Inquire_Date].[All]" allUniqueName="[Date].[First_Inquire_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Day_name]" caption="Day_name" attribute="1" defaultMemberUniqueName="[Date].[Day_name].[All]" allUniqueName="[Date].[Day_name].[All]" dimensionUniqueName="[Date]" displayFolder="" count="0" memberValueDatatype="130" unbalanced="0"/>
    <cacheHierarchy uniqueName="[Date].[Weektype]" caption="Weektype" attribute="1" defaultMemberUniqueName="[Date].[Weektype].[All]" allUniqueName="[Date].[Weektype].[All]" dimensionUniqueName="[Date]" displayFolder="" count="2" memberValueDatatype="130" unbalanced="0"/>
    <cacheHierarchy uniqueName="[Enrollment_Data_2023_2026].[Name]" caption="Name" attribute="1" defaultMemberUniqueName="[Enrollment_Data_2023_2026].[Name].[All]" allUniqueName="[Enrollment_Data_2023_2026].[Name].[All]" dimensionUniqueName="[Enrollment_Data_2023_2026]" displayFolder="" count="0" memberValueDatatype="130" unbalanced="0"/>
    <cacheHierarchy uniqueName="[Enrollment_Data_2023_2026].[Student_Level]" caption="Student_Level" attribute="1" defaultMemberUniqueName="[Enrollment_Data_2023_2026].[Student_Level].[All]" allUniqueName="[Enrollment_Data_2023_2026].[Student_Level].[All]" dimensionUniqueName="[Enrollment_Data_2023_2026]" displayFolder="" count="2" memberValueDatatype="130" unbalanced="0">
      <fieldsUsage count="2">
        <fieldUsage x="-1"/>
        <fieldUsage x="2"/>
      </fieldsUsage>
    </cacheHierarchy>
    <cacheHierarchy uniqueName="[Enrollment_Data_2023_2026].[Channel]" caption="Channel" attribute="1" defaultMemberUniqueName="[Enrollment_Data_2023_2026].[Channel].[All]" allUniqueName="[Enrollment_Data_2023_2026].[Channel].[All]" dimensionUniqueName="[Enrollment_Data_2023_2026]" displayFolder="" count="2" memberValueDatatype="130" unbalanced="0">
      <fieldsUsage count="2">
        <fieldUsage x="-1"/>
        <fieldUsage x="1"/>
      </fieldsUsage>
    </cacheHierarchy>
    <cacheHierarchy uniqueName="[Enrollment_Data_2023_2026].[First_Inquire_Date]" caption="First_Inquire_Date" attribute="1" time="1" defaultMemberUniqueName="[Enrollment_Data_2023_2026].[First_Inquire_Date].[All]" allUniqueName="[Enrollment_Data_2023_2026].[First_Inquire_Date].[All]" dimensionUniqueName="[Enrollment_Data_2023_2026]" displayFolder="" count="0" memberValueDatatype="7" unbalanced="0"/>
    <cacheHierarchy uniqueName="[Enrollment_Data_2023_2026].[Fill-Up_Date]" caption="Fill-Up_Date" attribute="1" time="1" defaultMemberUniqueName="[Enrollment_Data_2023_2026].[Fill-Up_Date].[All]" allUniqueName="[Enrollment_Data_2023_2026].[Fill-Up_Date].[All]" dimensionUniqueName="[Enrollment_Data_2023_2026]" displayFolder="" count="0" memberValueDatatype="7" unbalanced="0"/>
    <cacheHierarchy uniqueName="[Enrollment_Data_2023_2026].[Enrolled_Date]" caption="Enrolled_Date" attribute="1" time="1" defaultMemberUniqueName="[Enrollment_Data_2023_2026].[Enrolled_Date].[All]" allUniqueName="[Enrollment_Data_2023_2026].[Enrolled_Date].[All]" dimensionUniqueName="[Enrollment_Data_2023_2026]" displayFolder="" count="0" memberValueDatatype="7" unbalanced="0"/>
    <cacheHierarchy uniqueName="[Enrollment_Data_2023_2026].[First_Follow-Up_Date]" caption="First_Follow-Up_Date" attribute="1" time="1" defaultMemberUniqueName="[Enrollment_Data_2023_2026].[First_Follow-Up_Date].[All]" allUniqueName="[Enrollment_Data_2023_2026].[First_Follow-Up_Date].[All]" dimensionUniqueName="[Enrollment_Data_2023_2026]" displayFolder="" count="0" memberValueDatatype="7" unbalanced="0"/>
    <cacheHierarchy uniqueName="[Enrollment_Data_2023_2026].[Second_Follow-Up_Date]" caption="Second_Follow-Up_Date" attribute="1" time="1" defaultMemberUniqueName="[Enrollment_Data_2023_2026].[Second_Follow-Up_Date].[All]" allUniqueName="[Enrollment_Data_2023_2026].[Second_Follow-Up_Date].[All]" dimensionUniqueName="[Enrollment_Data_2023_2026]" displayFolder="" count="0" memberValueDatatype="7" unbalanced="0"/>
    <cacheHierarchy uniqueName="[Enrollment_Data_2023_2026].[Status]" caption="Status" attribute="1" defaultMemberUniqueName="[Enrollment_Data_2023_2026].[Status].[All]" allUniqueName="[Enrollment_Data_2023_2026].[Status].[All]" dimensionUniqueName="[Enrollment_Data_2023_2026]" displayFolder="" count="0" memberValueDatatype="130" unbalanced="0"/>
    <cacheHierarchy uniqueName="[Enrollment_Data_2023_2026].[Days_Inquiry_to_Fill]" caption="Days_Inquiry_to_Fill" attribute="1" defaultMemberUniqueName="[Enrollment_Data_2023_2026].[Days_Inquiry_to_Fill].[All]" allUniqueName="[Enrollment_Data_2023_2026].[Days_Inquiry_to_Fill].[All]" dimensionUniqueName="[Enrollment_Data_2023_2026]" displayFolder="" count="0" memberValueDatatype="20" unbalanced="0"/>
    <cacheHierarchy uniqueName="[Enrollment_Data_2023_2026].[Days_Inquiry_to_Enroll]" caption="Days_Inquiry_to_Enroll" attribute="1" defaultMemberUniqueName="[Enrollment_Data_2023_2026].[Days_Inquiry_to_Enroll].[All]" allUniqueName="[Enrollment_Data_2023_2026].[Days_Inquiry_to_Enroll].[All]" dimensionUniqueName="[Enrollment_Data_2023_2026]" displayFolder="" count="0" memberValueDatatype="20" unbalanced="0"/>
    <cacheHierarchy uniqueName="[Enrollment_Data_2023_2026].[Column12]" caption="Column12" attribute="1" defaultMemberUniqueName="[Enrollment_Data_2023_2026].[Column12].[All]" allUniqueName="[Enrollment_Data_2023_2026].[Column12].[All]" dimensionUniqueName="[Enrollment_Data_2023_2026]" displayFolder="" count="0" memberValueDatatype="130" unbalanced="0"/>
    <cacheHierarchy uniqueName="[Enrollment_Data_2023_2026].[Column13]" caption="Column13" attribute="1" defaultMemberUniqueName="[Enrollment_Data_2023_2026].[Column13].[All]" allUniqueName="[Enrollment_Data_2023_2026].[Column13].[All]" dimensionUniqueName="[Enrollment_Data_2023_2026]" displayFolder="" count="0" memberValueDatatype="130" unbalanced="0"/>
    <cacheHierarchy uniqueName="[Enrollment_Data_2023_2026].[Fill-Up_Date (Year)]" caption="Fill-Up_Date (Year)" attribute="1" defaultMemberUniqueName="[Enrollment_Data_2023_2026].[Fill-Up_Date (Year)].[All]" allUniqueName="[Enrollment_Data_2023_2026].[Fill-Up_Date (Year)].[All]" dimensionUniqueName="[Enrollment_Data_2023_2026]" displayFolder="" count="0" memberValueDatatype="130" unbalanced="0"/>
    <cacheHierarchy uniqueName="[Enrollment_Data_2023_2026].[Fill-Up_Date (Quarter)]" caption="Fill-Up_Date (Quarter)" attribute="1" defaultMemberUniqueName="[Enrollment_Data_2023_2026].[Fill-Up_Date (Quarter)].[All]" allUniqueName="[Enrollment_Data_2023_2026].[Fill-Up_Date (Quarter)].[All]" dimensionUniqueName="[Enrollment_Data_2023_2026]" displayFolder="" count="0" memberValueDatatype="130" unbalanced="0"/>
    <cacheHierarchy uniqueName="[Enrollment_Data_2023_2026].[Fill-Up_Date (Month)]" caption="Fill-Up_Date (Month)" attribute="1" defaultMemberUniqueName="[Enrollment_Data_2023_2026].[Fill-Up_Date (Month)].[All]" allUniqueName="[Enrollment_Data_2023_2026].[Fill-Up_Date (Month)].[All]" dimensionUniqueName="[Enrollment_Data_2023_2026]" displayFolder="" count="0" memberValueDatatype="130" unbalanced="0"/>
    <cacheHierarchy uniqueName="[Enrollment_Data_2023_2026].[First_Inquire_Date (Year)]" caption="First_Inquire_Date (Year)" attribute="1" defaultMemberUniqueName="[Enrollment_Data_2023_2026].[First_Inquire_Date (Year)].[All]" allUniqueName="[Enrollment_Data_2023_2026].[First_Inquire_Date (Year)].[All]" dimensionUniqueName="[Enrollment_Data_2023_2026]" displayFolder="" count="0" memberValueDatatype="130" unbalanced="0"/>
    <cacheHierarchy uniqueName="[Enrollment_Data_2023_2026].[First_Inquire_Date (Quarter)]" caption="First_Inquire_Date (Quarter)" attribute="1" defaultMemberUniqueName="[Enrollment_Data_2023_2026].[First_Inquire_Date (Quarter)].[All]" allUniqueName="[Enrollment_Data_2023_2026].[First_Inquire_Date (Quarter)].[All]" dimensionUniqueName="[Enrollment_Data_2023_2026]" displayFolder="" count="0" memberValueDatatype="130" unbalanced="0"/>
    <cacheHierarchy uniqueName="[Enrollment_Data_2023_2026].[First_Inquire_Date (Month)]" caption="First_Inquire_Date (Month)" attribute="1" defaultMemberUniqueName="[Enrollment_Data_2023_2026].[First_Inquire_Date (Month)].[All]" allUniqueName="[Enrollment_Data_2023_2026].[First_Inquire_Date (Month)].[All]" dimensionUniqueName="[Enrollment_Data_2023_2026]" displayFolder="" count="0" memberValueDatatype="130" unbalanced="0"/>
    <cacheHierarchy uniqueName="[Enrollment_Data_2023_2026].[Days Fill-Up to Enrolled]" caption="Days Fill-Up to Enrolled" attribute="1" defaultMemberUniqueName="[Enrollment_Data_2023_2026].[Days Fill-Up to Enrolled].[All]" allUniqueName="[Enrollment_Data_2023_2026].[Days Fill-Up to Enrolled].[All]" dimensionUniqueName="[Enrollment_Data_2023_2026]" displayFolder="" count="0" memberValueDatatype="20" unbalanced="0"/>
    <cacheHierarchy uniqueName="[Enrollment_Data_2023_2026].[First_Follow-Up_Date (Year)]" caption="First_Follow-Up_Date (Year)" attribute="1" defaultMemberUniqueName="[Enrollment_Data_2023_2026].[First_Follow-Up_Date (Year)].[All]" allUniqueName="[Enrollment_Data_2023_2026].[First_Follow-Up_Date (Year)].[All]" dimensionUniqueName="[Enrollment_Data_2023_2026]" displayFolder="" count="0" memberValueDatatype="130" unbalanced="0"/>
    <cacheHierarchy uniqueName="[Enrollment_Data_2023_2026].[First_Follow-Up_Date (Quarter)]" caption="First_Follow-Up_Date (Quarter)" attribute="1" defaultMemberUniqueName="[Enrollment_Data_2023_2026].[First_Follow-Up_Date (Quarter)].[All]" allUniqueName="[Enrollment_Data_2023_2026].[First_Follow-Up_Date (Quarter)].[All]" dimensionUniqueName="[Enrollment_Data_2023_2026]" displayFolder="" count="0" memberValueDatatype="130" unbalanced="0"/>
    <cacheHierarchy uniqueName="[Enrollment_Data_2023_2026].[First_Follow-Up_Date (Month)]" caption="First_Follow-Up_Date (Month)" attribute="1" defaultMemberUniqueName="[Enrollment_Data_2023_2026].[First_Follow-Up_Date (Month)].[All]" allUniqueName="[Enrollment_Data_2023_2026].[First_Follow-Up_Date (Month)].[All]" dimensionUniqueName="[Enrollment_Data_2023_2026]" displayFolder="" count="0" memberValueDatatype="130" unbalanced="0"/>
    <cacheHierarchy uniqueName="[Enrollment_Data_2023_2026].[Fill-Up_Date (Month Index)]" caption="Fill-Up_Date (Month Index)" attribute="1" defaultMemberUniqueName="[Enrollment_Data_2023_2026].[Fill-Up_Date (Month Index)].[All]" allUniqueName="[Enrollment_Data_2023_2026].[Fill-Up_Date (Month Index)].[All]" dimensionUniqueName="[Enrollment_Data_2023_2026]" displayFolder="" count="0" memberValueDatatype="20" unbalanced="0" hidden="1"/>
    <cacheHierarchy uniqueName="[Enrollment_Data_2023_2026].[First_Follow-Up_Date (Month Index)]" caption="First_Follow-Up_Date (Month Index)" attribute="1" defaultMemberUniqueName="[Enrollment_Data_2023_2026].[First_Follow-Up_Date (Month Index)].[All]" allUniqueName="[Enrollment_Data_2023_2026].[First_Follow-Up_Date (Month Index)].[All]" dimensionUniqueName="[Enrollment_Data_2023_2026]" displayFolder="" count="0" memberValueDatatype="20" unbalanced="0" hidden="1"/>
    <cacheHierarchy uniqueName="[Enrollment_Data_2023_2026].[First_Inquire_Date (Month Index)]" caption="First_Inquire_Date (Month Index)" attribute="1" defaultMemberUniqueName="[Enrollment_Data_2023_2026].[First_Inquire_Date (Month Index)].[All]" allUniqueName="[Enrollment_Data_2023_2026].[First_Inquire_Date (Month Index)].[All]" dimensionUniqueName="[Enrollment_Data_2023_2026]" displayFolder="" count="0" memberValueDatatype="20" unbalanced="0" hidden="1"/>
    <cacheHierarchy uniqueName="[Measures].[Avg._day_inquire_to_fill-up]" caption="Avg._day_inquire_to_fill-up" measure="1" displayFolder="" measureGroup="Calculation" count="0"/>
    <cacheHierarchy uniqueName="[Measures].[Avg._day_Inquire_to_Enrolled]" caption="Avg._day_Inquire_to_Enrolled" measure="1" displayFolder="" measureGroup="Calculation" count="0"/>
    <cacheHierarchy uniqueName="[Measures].[Avg._Day_fill-up_to_enrolled]" caption="Avg._Day_fill-up_to_enrolled" measure="1" displayFolder="" measureGroup="Calculation" count="0"/>
    <cacheHierarchy uniqueName="[Measures].[First Follow-up (Enrolled)]" caption="First Follow-up (Enrolled)" measure="1" displayFolder="" measureGroup="Calculation" count="0"/>
    <cacheHierarchy uniqueName="[Measures].[Second Follow up ( Enrolled)]" caption="Second Follow up ( Enrolled)" measure="1" displayFolder="" measureGroup="Calculation" count="0"/>
    <cacheHierarchy uniqueName="[Measures].[Enrolled W/O Follow up]" caption="Enrolled W/O Follow up" measure="1" displayFolder="" measureGroup="Calculation" count="0"/>
    <cacheHierarchy uniqueName="[Measures].[Total Enrolled]" caption="Total Enrolled" measure="1" displayFolder="" measureGroup="Calculation" count="0" oneField="1">
      <fieldsUsage count="1">
        <fieldUsage x="3"/>
      </fieldsUsage>
    </cacheHierarchy>
    <cacheHierarchy uniqueName="[Measures].[__XL_Count Enrollment_Data_2023_2026]" caption="__XL_Count Enrollment_Data_2023_2026" measure="1" displayFolder="" measureGroup="Enrollment_Data_2023_2026" count="0" hidden="1"/>
    <cacheHierarchy uniqueName="[Measures].[__XL_Count Date]" caption="__XL_Count Date" measure="1" displayFolder="" measureGroup="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Count of Fill-Up_Date]" caption="Count of Fill-Up_Date" measure="1" displayFolder="" measureGroup="Enrollment_Data_2023_2026" count="0" hidden="1">
      <extLst>
        <ext xmlns:x15="http://schemas.microsoft.com/office/spreadsheetml/2010/11/main" uri="{B97F6D7D-B522-45F9-BDA1-12C45D357490}">
          <x15:cacheHierarchy aggregatedColumn="12"/>
        </ext>
      </extLst>
    </cacheHierarchy>
    <cacheHierarchy uniqueName="[Measures].[Count of Enrolled_Date]" caption="Count of Enrolled_Date" measure="1" displayFolder="" measureGroup="Enrollment_Data_2023_2026" count="0" hidden="1">
      <extLst>
        <ext xmlns:x15="http://schemas.microsoft.com/office/spreadsheetml/2010/11/main" uri="{B97F6D7D-B522-45F9-BDA1-12C45D357490}">
          <x15:cacheHierarchy aggregatedColumn="13"/>
        </ext>
      </extLst>
    </cacheHierarchy>
    <cacheHierarchy uniqueName="[Measures].[Count of First_Inquire_Date]" caption="Count of First_Inquire_Date" measure="1" displayFolder="" measureGroup="Enrollment_Data_2023_2026" count="0" hidden="1">
      <extLst>
        <ext xmlns:x15="http://schemas.microsoft.com/office/spreadsheetml/2010/11/main" uri="{B97F6D7D-B522-45F9-BDA1-12C45D357490}">
          <x15:cacheHierarchy aggregatedColumn="11"/>
        </ext>
      </extLst>
    </cacheHierarchy>
    <cacheHierarchy uniqueName="[Measures].[Sum of Days_Inquiry_to_Fill]" caption="Sum of Days_Inquiry_to_Fill" measure="1" displayFolder="" measureGroup="Enrollment_Data_2023_2026" count="0" hidden="1">
      <extLst>
        <ext xmlns:x15="http://schemas.microsoft.com/office/spreadsheetml/2010/11/main" uri="{B97F6D7D-B522-45F9-BDA1-12C45D357490}">
          <x15:cacheHierarchy aggregatedColumn="17"/>
        </ext>
      </extLst>
    </cacheHierarchy>
    <cacheHierarchy uniqueName="[Measures].[Average of Days_Inquiry_to_Fill]" caption="Average of Days_Inquiry_to_Fill" measure="1" displayFolder="" measureGroup="Enrollment_Data_2023_2026" count="0" hidden="1">
      <extLst>
        <ext xmlns:x15="http://schemas.microsoft.com/office/spreadsheetml/2010/11/main" uri="{B97F6D7D-B522-45F9-BDA1-12C45D357490}">
          <x15:cacheHierarchy aggregatedColumn="17"/>
        </ext>
      </extLst>
    </cacheHierarchy>
    <cacheHierarchy uniqueName="[Measures].[Count of First_Follow-Up_Date]" caption="Count of First_Follow-Up_Date" measure="1" displayFolder="" measureGroup="Enrollment_Data_2023_2026" count="0" hidden="1">
      <extLst>
        <ext xmlns:x15="http://schemas.microsoft.com/office/spreadsheetml/2010/11/main" uri="{B97F6D7D-B522-45F9-BDA1-12C45D357490}">
          <x15:cacheHierarchy aggregatedColumn="14"/>
        </ext>
      </extLst>
    </cacheHierarchy>
    <cacheHierarchy uniqueName="[Measures].[Count of Second_Follow-Up_Date]" caption="Count of Second_Follow-Up_Date" measure="1" displayFolder="" measureGroup="Enrollment_Data_2023_2026"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Enrollment_Data_2023_2026"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4">
    <dimension name="Calculation" uniqueName="[Calculation]" caption="Calculation"/>
    <dimension name="Date" uniqueName="[Date]" caption="Date"/>
    <dimension name="Enrollment_Data_2023_2026" uniqueName="[Enrollment_Data_2023_2026]" caption="Enrollment_Data_2023_2026"/>
    <dimension measure="1" name="Measures" uniqueName="[Measures]" caption="Measures"/>
  </dimensions>
  <measureGroups count="3">
    <measureGroup name="Calculation" caption="Calculation"/>
    <measureGroup name="Date" caption="Date"/>
    <measureGroup name="Enrollment_Data_2023_2026" caption="Enrollment_Data_2023_2026"/>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26.827888425927" backgroundQuery="1" createdVersion="3" refreshedVersion="8" minRefreshableVersion="3" recordCount="0" supportSubquery="1" supportAdvancedDrill="1" xr:uid="{25F963F6-F6B9-4A3C-AD1F-25913E77B188}">
  <cacheSource type="external" connectionId="4">
    <extLst>
      <ext xmlns:x14="http://schemas.microsoft.com/office/spreadsheetml/2009/9/main" uri="{F057638F-6D5F-4e77-A914-E7F072B9BCA8}">
        <x14:sourceConnection name="ThisWorkbookDataModel"/>
      </ext>
    </extLst>
  </cacheSource>
  <cacheFields count="0"/>
  <cacheHierarchies count="52">
    <cacheHierarchy uniqueName="[Calculation].[Measures]" caption="Measures" attribute="1" defaultMemberUniqueName="[Calculation].[Measures].[All]" allUniqueName="[Calculation].[Measures].[All]" dimensionUniqueName="[Calculation]" displayFolder="" count="0" memberValueDatatype="130" unbalanced="0"/>
    <cacheHierarchy uniqueName="[Date].[First_Inquire_Date]" caption="First_Inquire_Date" attribute="1" time="1" defaultMemberUniqueName="[Date].[First_Inquire_Date].[All]" allUniqueName="[Date].[First_Inquire_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Day_name]" caption="Day_name" attribute="1" defaultMemberUniqueName="[Date].[Day_name].[All]" allUniqueName="[Date].[Day_name].[All]" dimensionUniqueName="[Date]" displayFolder="" count="2" memberValueDatatype="130" unbalanced="0"/>
    <cacheHierarchy uniqueName="[Date].[Weektype]" caption="Weektype" attribute="1" defaultMemberUniqueName="[Date].[Weektype].[All]" allUniqueName="[Date].[Weektype].[All]" dimensionUniqueName="[Date]" displayFolder="" count="0" memberValueDatatype="130" unbalanced="0"/>
    <cacheHierarchy uniqueName="[Enrollment_Data_2023_2026].[Name]" caption="Name" attribute="1" defaultMemberUniqueName="[Enrollment_Data_2023_2026].[Name].[All]" allUniqueName="[Enrollment_Data_2023_2026].[Name].[All]" dimensionUniqueName="[Enrollment_Data_2023_2026]" displayFolder="" count="0" memberValueDatatype="130" unbalanced="0"/>
    <cacheHierarchy uniqueName="[Enrollment_Data_2023_2026].[Student_Level]" caption="Student_Level" attribute="1" defaultMemberUniqueName="[Enrollment_Data_2023_2026].[Student_Level].[All]" allUniqueName="[Enrollment_Data_2023_2026].[Student_Level].[All]" dimensionUniqueName="[Enrollment_Data_2023_2026]" displayFolder="" count="0" memberValueDatatype="130" unbalanced="0"/>
    <cacheHierarchy uniqueName="[Enrollment_Data_2023_2026].[Channel]" caption="Channel" attribute="1" defaultMemberUniqueName="[Enrollment_Data_2023_2026].[Channel].[All]" allUniqueName="[Enrollment_Data_2023_2026].[Channel].[All]" dimensionUniqueName="[Enrollment_Data_2023_2026]" displayFolder="" count="0" memberValueDatatype="130" unbalanced="0"/>
    <cacheHierarchy uniqueName="[Enrollment_Data_2023_2026].[First_Inquire_Date]" caption="First_Inquire_Date" attribute="1" time="1" defaultMemberUniqueName="[Enrollment_Data_2023_2026].[First_Inquire_Date].[All]" allUniqueName="[Enrollment_Data_2023_2026].[First_Inquire_Date].[All]" dimensionUniqueName="[Enrollment_Data_2023_2026]" displayFolder="" count="0" memberValueDatatype="7" unbalanced="0"/>
    <cacheHierarchy uniqueName="[Enrollment_Data_2023_2026].[Fill-Up_Date]" caption="Fill-Up_Date" attribute="1" time="1" defaultMemberUniqueName="[Enrollment_Data_2023_2026].[Fill-Up_Date].[All]" allUniqueName="[Enrollment_Data_2023_2026].[Fill-Up_Date].[All]" dimensionUniqueName="[Enrollment_Data_2023_2026]" displayFolder="" count="0" memberValueDatatype="7" unbalanced="0"/>
    <cacheHierarchy uniqueName="[Enrollment_Data_2023_2026].[Enrolled_Date]" caption="Enrolled_Date" attribute="1" time="1" defaultMemberUniqueName="[Enrollment_Data_2023_2026].[Enrolled_Date].[All]" allUniqueName="[Enrollment_Data_2023_2026].[Enrolled_Date].[All]" dimensionUniqueName="[Enrollment_Data_2023_2026]" displayFolder="" count="0" memberValueDatatype="7" unbalanced="0"/>
    <cacheHierarchy uniqueName="[Enrollment_Data_2023_2026].[First_Follow-Up_Date]" caption="First_Follow-Up_Date" attribute="1" time="1" defaultMemberUniqueName="[Enrollment_Data_2023_2026].[First_Follow-Up_Date].[All]" allUniqueName="[Enrollment_Data_2023_2026].[First_Follow-Up_Date].[All]" dimensionUniqueName="[Enrollment_Data_2023_2026]" displayFolder="" count="0" memberValueDatatype="7" unbalanced="0"/>
    <cacheHierarchy uniqueName="[Enrollment_Data_2023_2026].[Second_Follow-Up_Date]" caption="Second_Follow-Up_Date" attribute="1" time="1" defaultMemberUniqueName="[Enrollment_Data_2023_2026].[Second_Follow-Up_Date].[All]" allUniqueName="[Enrollment_Data_2023_2026].[Second_Follow-Up_Date].[All]" dimensionUniqueName="[Enrollment_Data_2023_2026]" displayFolder="" count="0" memberValueDatatype="7" unbalanced="0"/>
    <cacheHierarchy uniqueName="[Enrollment_Data_2023_2026].[Status]" caption="Status" attribute="1" defaultMemberUniqueName="[Enrollment_Data_2023_2026].[Status].[All]" allUniqueName="[Enrollment_Data_2023_2026].[Status].[All]" dimensionUniqueName="[Enrollment_Data_2023_2026]" displayFolder="" count="0" memberValueDatatype="130" unbalanced="0"/>
    <cacheHierarchy uniqueName="[Enrollment_Data_2023_2026].[Days_Inquiry_to_Fill]" caption="Days_Inquiry_to_Fill" attribute="1" defaultMemberUniqueName="[Enrollment_Data_2023_2026].[Days_Inquiry_to_Fill].[All]" allUniqueName="[Enrollment_Data_2023_2026].[Days_Inquiry_to_Fill].[All]" dimensionUniqueName="[Enrollment_Data_2023_2026]" displayFolder="" count="0" memberValueDatatype="20" unbalanced="0"/>
    <cacheHierarchy uniqueName="[Enrollment_Data_2023_2026].[Days_Inquiry_to_Enroll]" caption="Days_Inquiry_to_Enroll" attribute="1" defaultMemberUniqueName="[Enrollment_Data_2023_2026].[Days_Inquiry_to_Enroll].[All]" allUniqueName="[Enrollment_Data_2023_2026].[Days_Inquiry_to_Enroll].[All]" dimensionUniqueName="[Enrollment_Data_2023_2026]" displayFolder="" count="0" memberValueDatatype="20" unbalanced="0"/>
    <cacheHierarchy uniqueName="[Enrollment_Data_2023_2026].[Column12]" caption="Column12" attribute="1" defaultMemberUniqueName="[Enrollment_Data_2023_2026].[Column12].[All]" allUniqueName="[Enrollment_Data_2023_2026].[Column12].[All]" dimensionUniqueName="[Enrollment_Data_2023_2026]" displayFolder="" count="0" memberValueDatatype="130" unbalanced="0"/>
    <cacheHierarchy uniqueName="[Enrollment_Data_2023_2026].[Column13]" caption="Column13" attribute="1" defaultMemberUniqueName="[Enrollment_Data_2023_2026].[Column13].[All]" allUniqueName="[Enrollment_Data_2023_2026].[Column13].[All]" dimensionUniqueName="[Enrollment_Data_2023_2026]" displayFolder="" count="0" memberValueDatatype="130" unbalanced="0"/>
    <cacheHierarchy uniqueName="[Enrollment_Data_2023_2026].[Fill-Up_Date (Year)]" caption="Fill-Up_Date (Year)" attribute="1" defaultMemberUniqueName="[Enrollment_Data_2023_2026].[Fill-Up_Date (Year)].[All]" allUniqueName="[Enrollment_Data_2023_2026].[Fill-Up_Date (Year)].[All]" dimensionUniqueName="[Enrollment_Data_2023_2026]" displayFolder="" count="0" memberValueDatatype="130" unbalanced="0"/>
    <cacheHierarchy uniqueName="[Enrollment_Data_2023_2026].[Fill-Up_Date (Quarter)]" caption="Fill-Up_Date (Quarter)" attribute="1" defaultMemberUniqueName="[Enrollment_Data_2023_2026].[Fill-Up_Date (Quarter)].[All]" allUniqueName="[Enrollment_Data_2023_2026].[Fill-Up_Date (Quarter)].[All]" dimensionUniqueName="[Enrollment_Data_2023_2026]" displayFolder="" count="0" memberValueDatatype="130" unbalanced="0"/>
    <cacheHierarchy uniqueName="[Enrollment_Data_2023_2026].[Fill-Up_Date (Month)]" caption="Fill-Up_Date (Month)" attribute="1" defaultMemberUniqueName="[Enrollment_Data_2023_2026].[Fill-Up_Date (Month)].[All]" allUniqueName="[Enrollment_Data_2023_2026].[Fill-Up_Date (Month)].[All]" dimensionUniqueName="[Enrollment_Data_2023_2026]" displayFolder="" count="0" memberValueDatatype="130" unbalanced="0"/>
    <cacheHierarchy uniqueName="[Enrollment_Data_2023_2026].[First_Inquire_Date (Year)]" caption="First_Inquire_Date (Year)" attribute="1" defaultMemberUniqueName="[Enrollment_Data_2023_2026].[First_Inquire_Date (Year)].[All]" allUniqueName="[Enrollment_Data_2023_2026].[First_Inquire_Date (Year)].[All]" dimensionUniqueName="[Enrollment_Data_2023_2026]" displayFolder="" count="0" memberValueDatatype="130" unbalanced="0"/>
    <cacheHierarchy uniqueName="[Enrollment_Data_2023_2026].[First_Inquire_Date (Quarter)]" caption="First_Inquire_Date (Quarter)" attribute="1" defaultMemberUniqueName="[Enrollment_Data_2023_2026].[First_Inquire_Date (Quarter)].[All]" allUniqueName="[Enrollment_Data_2023_2026].[First_Inquire_Date (Quarter)].[All]" dimensionUniqueName="[Enrollment_Data_2023_2026]" displayFolder="" count="0" memberValueDatatype="130" unbalanced="0"/>
    <cacheHierarchy uniqueName="[Enrollment_Data_2023_2026].[First_Inquire_Date (Month)]" caption="First_Inquire_Date (Month)" attribute="1" defaultMemberUniqueName="[Enrollment_Data_2023_2026].[First_Inquire_Date (Month)].[All]" allUniqueName="[Enrollment_Data_2023_2026].[First_Inquire_Date (Month)].[All]" dimensionUniqueName="[Enrollment_Data_2023_2026]" displayFolder="" count="0" memberValueDatatype="130" unbalanced="0"/>
    <cacheHierarchy uniqueName="[Enrollment_Data_2023_2026].[Days Fill-Up to Enrolled]" caption="Days Fill-Up to Enrolled" attribute="1" defaultMemberUniqueName="[Enrollment_Data_2023_2026].[Days Fill-Up to Enrolled].[All]" allUniqueName="[Enrollment_Data_2023_2026].[Days Fill-Up to Enrolled].[All]" dimensionUniqueName="[Enrollment_Data_2023_2026]" displayFolder="" count="0" memberValueDatatype="20" unbalanced="0"/>
    <cacheHierarchy uniqueName="[Enrollment_Data_2023_2026].[First_Follow-Up_Date (Year)]" caption="First_Follow-Up_Date (Year)" attribute="1" defaultMemberUniqueName="[Enrollment_Data_2023_2026].[First_Follow-Up_Date (Year)].[All]" allUniqueName="[Enrollment_Data_2023_2026].[First_Follow-Up_Date (Year)].[All]" dimensionUniqueName="[Enrollment_Data_2023_2026]" displayFolder="" count="0" memberValueDatatype="130" unbalanced="0"/>
    <cacheHierarchy uniqueName="[Enrollment_Data_2023_2026].[First_Follow-Up_Date (Quarter)]" caption="First_Follow-Up_Date (Quarter)" attribute="1" defaultMemberUniqueName="[Enrollment_Data_2023_2026].[First_Follow-Up_Date (Quarter)].[All]" allUniqueName="[Enrollment_Data_2023_2026].[First_Follow-Up_Date (Quarter)].[All]" dimensionUniqueName="[Enrollment_Data_2023_2026]" displayFolder="" count="0" memberValueDatatype="130" unbalanced="0"/>
    <cacheHierarchy uniqueName="[Enrollment_Data_2023_2026].[First_Follow-Up_Date (Month)]" caption="First_Follow-Up_Date (Month)" attribute="1" defaultMemberUniqueName="[Enrollment_Data_2023_2026].[First_Follow-Up_Date (Month)].[All]" allUniqueName="[Enrollment_Data_2023_2026].[First_Follow-Up_Date (Month)].[All]" dimensionUniqueName="[Enrollment_Data_2023_2026]" displayFolder="" count="0" memberValueDatatype="130" unbalanced="0"/>
    <cacheHierarchy uniqueName="[Enrollment_Data_2023_2026].[Fill-Up_Date (Month Index)]" caption="Fill-Up_Date (Month Index)" attribute="1" defaultMemberUniqueName="[Enrollment_Data_2023_2026].[Fill-Up_Date (Month Index)].[All]" allUniqueName="[Enrollment_Data_2023_2026].[Fill-Up_Date (Month Index)].[All]" dimensionUniqueName="[Enrollment_Data_2023_2026]" displayFolder="" count="0" memberValueDatatype="20" unbalanced="0" hidden="1"/>
    <cacheHierarchy uniqueName="[Enrollment_Data_2023_2026].[First_Follow-Up_Date (Month Index)]" caption="First_Follow-Up_Date (Month Index)" attribute="1" defaultMemberUniqueName="[Enrollment_Data_2023_2026].[First_Follow-Up_Date (Month Index)].[All]" allUniqueName="[Enrollment_Data_2023_2026].[First_Follow-Up_Date (Month Index)].[All]" dimensionUniqueName="[Enrollment_Data_2023_2026]" displayFolder="" count="0" memberValueDatatype="20" unbalanced="0" hidden="1"/>
    <cacheHierarchy uniqueName="[Enrollment_Data_2023_2026].[First_Inquire_Date (Month Index)]" caption="First_Inquire_Date (Month Index)" attribute="1" defaultMemberUniqueName="[Enrollment_Data_2023_2026].[First_Inquire_Date (Month Index)].[All]" allUniqueName="[Enrollment_Data_2023_2026].[First_Inquire_Date (Month Index)].[All]" dimensionUniqueName="[Enrollment_Data_2023_2026]" displayFolder="" count="0" memberValueDatatype="20" unbalanced="0" hidden="1"/>
    <cacheHierarchy uniqueName="[Measures].[Count of Fill-Up_Date]" caption="Count of Fill-Up_Date" measure="1" displayFolder="" measureGroup="Enrollment_Data_2023_2026" count="0">
      <extLst>
        <ext xmlns:x15="http://schemas.microsoft.com/office/spreadsheetml/2010/11/main" uri="{B97F6D7D-B522-45F9-BDA1-12C45D357490}">
          <x15:cacheHierarchy aggregatedColumn="12"/>
        </ext>
      </extLst>
    </cacheHierarchy>
    <cacheHierarchy uniqueName="[Measures].[Count of Enrolled_Date]" caption="Count of Enrolled_Date" measure="1" displayFolder="" measureGroup="Enrollment_Data_2023_2026" count="0">
      <extLst>
        <ext xmlns:x15="http://schemas.microsoft.com/office/spreadsheetml/2010/11/main" uri="{B97F6D7D-B522-45F9-BDA1-12C45D357490}">
          <x15:cacheHierarchy aggregatedColumn="13"/>
        </ext>
      </extLst>
    </cacheHierarchy>
    <cacheHierarchy uniqueName="[Measures].[Count of First_Inquire_Date]" caption="Count of First_Inquire_Date" measure="1" displayFolder="" measureGroup="Enrollment_Data_2023_2026" count="0">
      <extLst>
        <ext xmlns:x15="http://schemas.microsoft.com/office/spreadsheetml/2010/11/main" uri="{B97F6D7D-B522-45F9-BDA1-12C45D357490}">
          <x15:cacheHierarchy aggregatedColumn="11"/>
        </ext>
      </extLst>
    </cacheHierarchy>
    <cacheHierarchy uniqueName="[Measures].[Sum of Days_Inquiry_to_Fill]" caption="Sum of Days_Inquiry_to_Fill" measure="1" displayFolder="" measureGroup="Enrollment_Data_2023_2026" count="0">
      <extLst>
        <ext xmlns:x15="http://schemas.microsoft.com/office/spreadsheetml/2010/11/main" uri="{B97F6D7D-B522-45F9-BDA1-12C45D357490}">
          <x15:cacheHierarchy aggregatedColumn="17"/>
        </ext>
      </extLst>
    </cacheHierarchy>
    <cacheHierarchy uniqueName="[Measures].[Average of Days_Inquiry_to_Fill]" caption="Average of Days_Inquiry_to_Fill" measure="1" displayFolder="" measureGroup="Enrollment_Data_2023_2026" count="0">
      <extLst>
        <ext xmlns:x15="http://schemas.microsoft.com/office/spreadsheetml/2010/11/main" uri="{B97F6D7D-B522-45F9-BDA1-12C45D357490}">
          <x15:cacheHierarchy aggregatedColumn="17"/>
        </ext>
      </extLst>
    </cacheHierarchy>
    <cacheHierarchy uniqueName="[Measures].[Count of First_Follow-Up_Date]" caption="Count of First_Follow-Up_Date" measure="1" displayFolder="" measureGroup="Enrollment_Data_2023_2026" count="0">
      <extLst>
        <ext xmlns:x15="http://schemas.microsoft.com/office/spreadsheetml/2010/11/main" uri="{B97F6D7D-B522-45F9-BDA1-12C45D357490}">
          <x15:cacheHierarchy aggregatedColumn="14"/>
        </ext>
      </extLst>
    </cacheHierarchy>
    <cacheHierarchy uniqueName="[Measures].[Count of Second_Follow-Up_Date]" caption="Count of Second_Follow-Up_Date" measure="1" displayFolder="" measureGroup="Enrollment_Data_2023_2026" count="0">
      <extLst>
        <ext xmlns:x15="http://schemas.microsoft.com/office/spreadsheetml/2010/11/main" uri="{B97F6D7D-B522-45F9-BDA1-12C45D357490}">
          <x15:cacheHierarchy aggregatedColumn="15"/>
        </ext>
      </extLst>
    </cacheHierarchy>
    <cacheHierarchy uniqueName="[Measures].[Avg._day_inquire_to_fill-up]" caption="Avg._day_inquire_to_fill-up" measure="1" displayFolder="" measureGroup="Calculation" count="0"/>
    <cacheHierarchy uniqueName="[Measures].[Avg._day_Inquire_to_Enrolled]" caption="Avg._day_Inquire_to_Enrolled" measure="1" displayFolder="" measureGroup="Calculation" count="0"/>
    <cacheHierarchy uniqueName="[Measures].[Avg._Day_fill-up_to_enrolled]" caption="Avg._Day_fill-up_to_enrolled" measure="1" displayFolder="" measureGroup="Calculation" count="0"/>
    <cacheHierarchy uniqueName="[Measures].[First Follow-up (Enrolled)]" caption="First Follow-up (Enrolled)" measure="1" displayFolder="" measureGroup="Calculation" count="0"/>
    <cacheHierarchy uniqueName="[Measures].[Second Follow up ( Enrolled)]" caption="Second Follow up ( Enrolled)" measure="1" displayFolder="" measureGroup="Calculation" count="0"/>
    <cacheHierarchy uniqueName="[Measures].[Enrolled W/O Follow up]" caption="Enrolled W/O Follow up" measure="1" displayFolder="" measureGroup="Calculation" count="0"/>
    <cacheHierarchy uniqueName="[Measures].[Total Enrolled]" caption="Total Enrolled" measure="1" displayFolder="" measureGroup="Calculation" count="0"/>
    <cacheHierarchy uniqueName="[Measures].[__XL_Count Enrollment_Data_2023_2026]" caption="__XL_Count Enrollment_Data_2023_2026" measure="1" displayFolder="" measureGroup="Enrollment_Data_2023_2026" count="0" hidden="1"/>
    <cacheHierarchy uniqueName="[Measures].[__XL_Count Date]" caption="__XL_Count Date" measure="1" displayFolder="" measureGroup="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890553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3ECF1B-7E16-4687-A2C0-A43A0303479A}" name="Status" cacheId="324" applyNumberFormats="0" applyBorderFormats="0" applyFontFormats="0" applyPatternFormats="0" applyAlignmentFormats="0" applyWidthHeightFormats="1" dataCaption="Values" tag="753c4879-a564-48a7-8da6-a3ed66868d1a" updatedVersion="8" minRefreshableVersion="3" useAutoFormatting="1" rowGrandTotals="0" colGrandTotals="0" itemPrintTitles="1" createdVersion="8" indent="0" compact="0" compactData="0" multipleFieldFilters="0" chartFormat="14">
  <location ref="AW4:AX7" firstHeaderRow="1" firstDataRow="1" firstDataCol="1"/>
  <pivotFields count="4">
    <pivotField compact="0" allDrilled="1" outline="0" subtotalTop="0" showAll="0" dataSourceSort="1" defaultSubtotal="0" defaultAttributeDrillState="1"/>
    <pivotField dataField="1" compact="0" outline="0" subtotalTop="0" showAll="0" defaultSubtotal="0"/>
    <pivotField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3">
        <item x="2"/>
        <item x="1"/>
        <item x="0"/>
      </items>
    </pivotField>
  </pivotFields>
  <rowFields count="1">
    <field x="3"/>
  </rowFields>
  <rowItems count="3">
    <i>
      <x/>
    </i>
    <i>
      <x v="1"/>
    </i>
    <i>
      <x v="2"/>
    </i>
  </rowItems>
  <colItems count="1">
    <i/>
  </colItems>
  <dataFields count="1">
    <dataField name="Count of Name" fld="1" subtotal="count" baseField="0" baseItem="0"/>
  </dataFields>
  <formats count="6">
    <format dxfId="35">
      <pivotArea type="all" dataOnly="0" outline="0" fieldPosition="0"/>
    </format>
    <format dxfId="36">
      <pivotArea outline="0" collapsedLevelsAreSubtotals="1" fieldPosition="0"/>
    </format>
    <format dxfId="37">
      <pivotArea dataOnly="0" labelOnly="1" outline="0" axis="axisValues" fieldPosition="0"/>
    </format>
    <format dxfId="38">
      <pivotArea dataOnly="0" labelOnly="1" outline="0" axis="axisValues" fieldPosition="0"/>
    </format>
    <format dxfId="39">
      <pivotArea field="2" type="button" dataOnly="0" labelOnly="1" outline="0"/>
    </format>
    <format dxfId="34">
      <pivotArea field="3" type="button" dataOnly="0" labelOnly="1" outline="0" axis="axisRow" fieldPosition="0"/>
    </format>
  </formats>
  <chartFormats count="10">
    <chartFormat chart="5"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3" count="1" selected="0">
            <x v="0"/>
          </reference>
        </references>
      </pivotArea>
    </chartFormat>
    <chartFormat chart="13" format="4">
      <pivotArea type="data" outline="0" fieldPosition="0">
        <references count="2">
          <reference field="4294967294" count="1" selected="0">
            <x v="0"/>
          </reference>
          <reference field="3" count="1" selected="0">
            <x v="1"/>
          </reference>
        </references>
      </pivotArea>
    </chartFormat>
    <chartFormat chart="13" format="5">
      <pivotArea type="data" outline="0" fieldPosition="0">
        <references count="2">
          <reference field="4294967294" count="1" selected="0">
            <x v="0"/>
          </reference>
          <reference field="3" count="1" selected="0">
            <x v="2"/>
          </reference>
        </references>
      </pivotArea>
    </chartFormat>
  </chartFormats>
  <pivotHierarchies count="53">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rollment_Data_2023_2026]"/>
        <x15:activeTabTopLevelEntity name="[Date]"/>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751C00-9576-4CF8-8B78-17902F5F4322}" name="Day Series Analaysys" cacheId="309" applyNumberFormats="0" applyBorderFormats="0" applyFontFormats="0" applyPatternFormats="0" applyAlignmentFormats="0" applyWidthHeightFormats="1" dataCaption="Values" tag="75368a7e-334a-4f41-8e76-be3f59baa8a0" updatedVersion="8" minRefreshableVersion="3" useAutoFormatting="1" rowGrandTotals="0" colGrandTotals="0" itemPrintTitles="1" createdVersion="8" indent="0" compact="0" compactData="0" multipleFieldFilters="0" chartFormat="7">
  <location ref="Q4:R11" firstHeaderRow="1" firstDataRow="1" firstDataCol="1"/>
  <pivotFields count="3">
    <pivotField axis="axisRow" compact="0" allDrilled="1" outline="0" subtotalTop="0" showAll="0" dataSourceSort="1" defaultSubtotal="0" defaultAttributeDrillState="1">
      <items count="7">
        <item x="0"/>
        <item x="1"/>
        <item x="2"/>
        <item x="3"/>
        <item x="4"/>
        <item x="5"/>
        <item x="6"/>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7">
    <i>
      <x/>
    </i>
    <i>
      <x v="1"/>
    </i>
    <i>
      <x v="2"/>
    </i>
    <i>
      <x v="3"/>
    </i>
    <i>
      <x v="4"/>
    </i>
    <i>
      <x v="5"/>
    </i>
    <i>
      <x v="6"/>
    </i>
  </rowItems>
  <colItems count="1">
    <i/>
  </colItems>
  <dataFields count="1">
    <dataField name="Count of First_Inquire_Date" fld="1" subtotal="count" baseField="0" baseItem="0"/>
  </dataFields>
  <formats count="7">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outline="0" fieldPosition="0">
        <references count="1">
          <reference field="0" count="0"/>
        </references>
      </pivotArea>
    </format>
    <format dxfId="45">
      <pivotArea dataOnly="0" labelOnly="1" outline="0" axis="axisValues" fieldPosition="0"/>
    </format>
    <format dxfId="44">
      <pivotArea field="0" type="button" dataOnly="0" labelOnly="1" outline="0" axis="axisRow" fieldPosition="0"/>
    </format>
    <format dxfId="4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rollment_Data_2023_2026]"/>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B5F956-0E44-43C3-9427-0BFEC93EF81E}" name="KPI" cacheId="306" applyNumberFormats="0" applyBorderFormats="0" applyFontFormats="0" applyPatternFormats="0" applyAlignmentFormats="0" applyWidthHeightFormats="1" dataCaption="Values" tag="0fa24fb0-c478-4978-b960-ebe4a7d081de" updatedVersion="8" minRefreshableVersion="3" useAutoFormatting="1" subtotalHiddenItems="1" itemPrintTitles="1" createdVersion="8" indent="0" outline="1" outlineData="1" multipleFieldFilters="0">
  <location ref="B4:K5" firstHeaderRow="0" firstDataRow="1" firstDataCol="0"/>
  <pivotFields count="1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10">
    <i>
      <x/>
    </i>
    <i i="1">
      <x v="1"/>
    </i>
    <i i="2">
      <x v="2"/>
    </i>
    <i i="3">
      <x v="3"/>
    </i>
    <i i="4">
      <x v="4"/>
    </i>
    <i i="5">
      <x v="5"/>
    </i>
    <i i="6">
      <x v="6"/>
    </i>
    <i i="7">
      <x v="7"/>
    </i>
    <i i="8">
      <x v="8"/>
    </i>
    <i i="9">
      <x v="9"/>
    </i>
  </colItems>
  <dataFields count="10">
    <dataField name="Count of First_Inquire_Date" fld="2" subtotal="count" baseField="0" baseItem="0"/>
    <dataField name="Count of Fill-Up_Date" fld="0" subtotal="count" baseField="0" baseItem="0"/>
    <dataField name="Count of Enrolled_Date" fld="1" subtotal="count" baseField="0" baseItem="0"/>
    <dataField fld="4" subtotal="count" baseField="0" baseItem="0"/>
    <dataField fld="6" subtotal="count" baseField="0" baseItem="0"/>
    <dataField fld="5" subtotal="count" baseField="0" baseItem="0"/>
    <dataField fld="7" subtotal="count" baseField="0" baseItem="0"/>
    <dataField fld="8" subtotal="count" baseField="0" baseItem="0"/>
    <dataField fld="9" subtotal="count" baseField="0" baseItem="0"/>
    <dataField fld="10" subtotal="count" baseField="0" baseItem="0"/>
  </dataFields>
  <formats count="4">
    <format dxfId="53">
      <pivotArea type="all" dataOnly="0" outline="0" fieldPosition="0"/>
    </format>
    <format dxfId="52">
      <pivotArea outline="0" collapsedLevelsAreSubtotals="1" fieldPosition="0"/>
    </format>
    <format dxfId="51">
      <pivotArea dataOnly="0" labelOnly="1" outline="0" fieldPosition="0">
        <references count="1">
          <reference field="4294967294" count="3">
            <x v="0"/>
            <x v="1"/>
            <x v="2"/>
          </reference>
        </references>
      </pivotArea>
    </format>
    <format dxfId="50">
      <pivotArea dataOnly="0" labelOnly="1" outline="0" fieldPosition="0">
        <references count="1">
          <reference field="4294967294" count="3">
            <x v="0"/>
            <x v="1"/>
            <x v="2"/>
          </reference>
        </references>
      </pivotArea>
    </format>
  </formats>
  <pivotHierarchies count="53">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Enrollment_Data_2023_2026]"/>
        <x15:activeTabTopLevelEntity name="[Date]"/>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26B7B1-6C9A-4EAC-AE73-E63B882027E7}" name="Student_Level" cacheId="336" applyNumberFormats="0" applyBorderFormats="0" applyFontFormats="0" applyPatternFormats="0" applyAlignmentFormats="0" applyWidthHeightFormats="1" dataCaption="Values" tag="753c4879-a564-48a7-8da6-a3ed66868d1a" updatedVersion="8" minRefreshableVersion="3" useAutoFormatting="1" rowGrandTotals="0" colGrandTotals="0" itemPrintTitles="1" createdVersion="8" indent="0" compact="0" compactData="0" multipleFieldFilters="0" chartFormat="11">
  <location ref="AP4:AR17" firstHeaderRow="0" firstDataRow="1" firstDataCol="1"/>
  <pivotFields count="4">
    <pivotField dataField="1" compact="0" outline="0" subtotalTop="0" showAll="0" defaultSubtotal="0"/>
    <pivotField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compact="0" allDrilled="1" outline="0" subtotalTop="0" showAll="0" defaultSubtotal="0" defaultAttributeDrillState="1">
      <items count="13">
        <item x="11"/>
        <item x="12"/>
        <item x="0"/>
        <item x="1"/>
        <item x="2"/>
        <item x="3"/>
        <item x="4"/>
        <item x="5"/>
        <item x="6"/>
        <item x="7"/>
        <item x="8"/>
        <item x="9"/>
        <item x="10"/>
      </items>
    </pivotField>
    <pivotField dataField="1" compact="0" outline="0" subtotalTop="0" showAll="0" defaultSubtotal="0"/>
  </pivotFields>
  <rowFields count="1">
    <field x="2"/>
  </rowFields>
  <rowItems count="13">
    <i>
      <x/>
    </i>
    <i>
      <x v="1"/>
    </i>
    <i>
      <x v="2"/>
    </i>
    <i>
      <x v="3"/>
    </i>
    <i>
      <x v="4"/>
    </i>
    <i>
      <x v="5"/>
    </i>
    <i>
      <x v="6"/>
    </i>
    <i>
      <x v="7"/>
    </i>
    <i>
      <x v="8"/>
    </i>
    <i>
      <x v="9"/>
    </i>
    <i>
      <x v="10"/>
    </i>
    <i>
      <x v="11"/>
    </i>
    <i>
      <x v="12"/>
    </i>
  </rowItems>
  <colFields count="1">
    <field x="-2"/>
  </colFields>
  <colItems count="2">
    <i>
      <x/>
    </i>
    <i i="1">
      <x v="1"/>
    </i>
  </colItems>
  <dataFields count="2">
    <dataField name="Count of Name" fld="0" subtotal="count" baseField="0" baseItem="0"/>
    <dataField fld="3" subtotal="count" baseField="0" baseItem="0"/>
  </dataFields>
  <formats count="8">
    <format dxfId="59">
      <pivotArea type="all" dataOnly="0" outline="0" fieldPosition="0"/>
    </format>
    <format dxfId="58">
      <pivotArea outline="0" collapsedLevelsAreSubtotals="1" fieldPosition="0"/>
    </format>
    <format dxfId="57">
      <pivotArea dataOnly="0" labelOnly="1" outline="0" axis="axisValues" fieldPosition="0"/>
    </format>
    <format dxfId="56">
      <pivotArea dataOnly="0" labelOnly="1" outline="0" axis="axisValues" fieldPosition="0"/>
    </format>
    <format dxfId="55">
      <pivotArea field="1" type="button" dataOnly="0" labelOnly="1" outline="0"/>
    </format>
    <format dxfId="54">
      <pivotArea field="2" type="button" dataOnly="0" labelOnly="1" outline="0" axis="axisRow" fieldPosition="0"/>
    </format>
    <format dxfId="42">
      <pivotArea dataOnly="0" labelOnly="1" outline="0" fieldPosition="0">
        <references count="1">
          <reference field="4294967294" count="1">
            <x v="0"/>
          </reference>
        </references>
      </pivotArea>
    </format>
    <format dxfId="40">
      <pivotArea dataOnly="0" labelOnly="1" outline="0" fieldPosition="0">
        <references count="1">
          <reference field="4294967294" count="1">
            <x v="1"/>
          </reference>
        </references>
      </pivotArea>
    </format>
  </formats>
  <chartFormats count="7">
    <chartFormat chart="5"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s>
  <pivotHierarchies count="53">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rollment_Data_2023_2026]"/>
        <x15:activeTabTopLevelEntity name="[Date]"/>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645320-15A8-4304-BEB7-27964DC10FD4}" name="Weektype" cacheId="315" applyNumberFormats="0" applyBorderFormats="0" applyFontFormats="0" applyPatternFormats="0" applyAlignmentFormats="0" applyWidthHeightFormats="1" dataCaption="Values" tag="753c4879-a564-48a7-8da6-a3ed66868d1a" updatedVersion="8" minRefreshableVersion="3" useAutoFormatting="1" rowGrandTotals="0" colGrandTotals="0" itemPrintTitles="1" createdVersion="8" indent="0" compact="0" compactData="0" multipleFieldFilters="0" chartFormat="7">
  <location ref="AA4:AB6" firstHeaderRow="1" firstDataRow="1" firstDataCol="1"/>
  <pivotFields count="3">
    <pivotField compact="0" allDrilled="1" outline="0" subtotalTop="0" showAll="0" dataSourceSort="1" defaultSubtotal="0" defaultAttributeDrillState="1"/>
    <pivotField axis="axisRow" compact="0" allDrilled="1" outline="0" subtotalTop="0" showAll="0" dataSourceSort="1" defaultSubtotal="0" defaultAttributeDrillState="1">
      <items count="2">
        <item x="0"/>
        <item x="1"/>
      </items>
    </pivotField>
    <pivotField dataField="1" compact="0" outline="0" subtotalTop="0" showAll="0" defaultSubtotal="0"/>
  </pivotFields>
  <rowFields count="1">
    <field x="1"/>
  </rowFields>
  <rowItems count="2">
    <i>
      <x/>
    </i>
    <i>
      <x v="1"/>
    </i>
  </rowItems>
  <colItems count="1">
    <i/>
  </colItems>
  <dataFields count="1">
    <dataField name="Count of Name" fld="2" subtotal="count" baseField="0" baseItem="0"/>
  </dataFields>
  <formats count="4">
    <format dxfId="63">
      <pivotArea type="all" dataOnly="0" outline="0" fieldPosition="0"/>
    </format>
    <format dxfId="62">
      <pivotArea outline="0" collapsedLevelsAreSubtotals="1" fieldPosition="0"/>
    </format>
    <format dxfId="61">
      <pivotArea dataOnly="0" labelOnly="1" outline="0" axis="axisValues" fieldPosition="0"/>
    </format>
    <format dxfId="60">
      <pivotArea dataOnly="0" labelOnly="1" outline="0" axis="axisValues" fieldPosition="0"/>
    </format>
  </formats>
  <chartFormats count="6">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53">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rollment_Data_2023_2026]"/>
        <x15:activeTabTopLevelEntity name="[Date]"/>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6E7776-FA53-478F-9E8E-7D302B4B0736}" name="Channel" cacheId="318" applyNumberFormats="0" applyBorderFormats="0" applyFontFormats="0" applyPatternFormats="0" applyAlignmentFormats="0" applyWidthHeightFormats="1" dataCaption="Values" tag="753c4879-a564-48a7-8da6-a3ed66868d1a" updatedVersion="8" minRefreshableVersion="3" useAutoFormatting="1" rowGrandTotals="0" colGrandTotals="0" itemPrintTitles="1" createdVersion="8" indent="0" compact="0" compactData="0" multipleFieldFilters="0" chartFormat="11">
  <location ref="AH4:AJ10" firstHeaderRow="0" firstDataRow="1" firstDataCol="1"/>
  <pivotFields count="4">
    <pivotField compact="0" allDrilled="1" outline="0" subtotalTop="0" showAll="0" dataSourceSort="1" defaultSubtotal="0" defaultAttributeDrillState="1"/>
    <pivotField dataField="1" compact="0" outline="0" subtotalTop="0" showAll="0" defaultSubtotal="0"/>
    <pivotField axis="axisRow" compact="0" allDrilled="1" outline="0" subtotalTop="0" showAll="0" defaultSubtotal="0" defaultAttributeDrillState="1">
      <items count="6">
        <item x="1"/>
        <item x="2"/>
        <item x="3"/>
        <item x="5"/>
        <item x="0"/>
        <item x="4"/>
      </items>
    </pivotField>
    <pivotField dataField="1" compact="0" outline="0" subtotalTop="0" showAll="0" defaultSubtotal="0"/>
  </pivotFields>
  <rowFields count="1">
    <field x="2"/>
  </rowFields>
  <rowItems count="6">
    <i>
      <x/>
    </i>
    <i>
      <x v="1"/>
    </i>
    <i>
      <x v="2"/>
    </i>
    <i>
      <x v="3"/>
    </i>
    <i>
      <x v="4"/>
    </i>
    <i>
      <x v="5"/>
    </i>
  </rowItems>
  <colFields count="1">
    <field x="-2"/>
  </colFields>
  <colItems count="2">
    <i>
      <x/>
    </i>
    <i i="1">
      <x v="1"/>
    </i>
  </colItems>
  <dataFields count="2">
    <dataField name="Count of Name" fld="1" subtotal="count" baseField="0" baseItem="0"/>
    <dataField fld="3" subtotal="count" baseField="0" baseItem="0"/>
  </dataFields>
  <formats count="6">
    <format dxfId="68">
      <pivotArea type="all" dataOnly="0" outline="0" fieldPosition="0"/>
    </format>
    <format dxfId="67">
      <pivotArea outline="0" collapsedLevelsAreSubtotals="1" fieldPosition="0"/>
    </format>
    <format dxfId="66">
      <pivotArea dataOnly="0" labelOnly="1" outline="0" axis="axisValues" fieldPosition="0"/>
    </format>
    <format dxfId="65">
      <pivotArea dataOnly="0" labelOnly="1" outline="0" axis="axisValues" fieldPosition="0"/>
    </format>
    <format dxfId="64">
      <pivotArea field="2" type="button" dataOnly="0" labelOnly="1" outline="0" axis="axisRow" fieldPosition="0"/>
    </format>
    <format dxfId="41">
      <pivotArea dataOnly="0" labelOnly="1" outline="0" fieldPosition="0">
        <references count="1">
          <reference field="4294967294" count="2">
            <x v="0"/>
            <x v="1"/>
          </reference>
        </references>
      </pivotArea>
    </format>
  </formats>
  <chartFormats count="5">
    <chartFormat chart="5"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s>
  <pivotHierarchies count="53">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rollment_Data_2023_2026]"/>
        <x15:activeTabTopLevelEntity name="[Date]"/>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79593C-98E8-4BE4-8EC8-8BB7BDEE41B2}" name="Month Series Analysis" cacheId="312" applyNumberFormats="0" applyBorderFormats="0" applyFontFormats="0" applyPatternFormats="0" applyAlignmentFormats="0" applyWidthHeightFormats="1" dataCaption="Values" tag="d1fefabc-57b4-4ed2-82ec-e429b2e8960b" updatedVersion="8" minRefreshableVersion="3" useAutoFormatting="1" rowGrandTotals="0" colGrandTotals="0" itemPrintTitles="1" createdVersion="8" indent="0" compact="0" compactData="0" multipleFieldFilters="0" chartFormat="6">
  <location ref="T4:U16" firstHeaderRow="1" firstDataRow="1" firstDataCol="1"/>
  <pivotFields count="3">
    <pivotField dataField="1" compact="0" outline="0" subtotalTop="0" showAll="0" defaultSubtotal="0"/>
    <pivotField compact="0" allDrilled="1" outline="0" subtotalTop="0" showAll="0" dataSourceSort="1" defaultSubtotal="0" defaultAttributeDrillState="1"/>
    <pivotField axis="axisRow" compact="0" allDrilled="1" outline="0" subtotalTop="0" showAll="0" dataSourceSort="1" defaultSubtotal="0" defaultAttributeDrillState="1">
      <items count="12">
        <item x="0"/>
        <item x="1"/>
        <item x="2"/>
        <item x="3"/>
        <item x="4"/>
        <item x="5"/>
        <item x="6"/>
        <item x="7"/>
        <item x="8"/>
        <item x="9"/>
        <item x="10"/>
        <item x="11"/>
      </items>
    </pivotField>
  </pivotFields>
  <rowFields count="1">
    <field x="2"/>
  </rowFields>
  <rowItems count="12">
    <i>
      <x/>
    </i>
    <i>
      <x v="1"/>
    </i>
    <i>
      <x v="2"/>
    </i>
    <i>
      <x v="3"/>
    </i>
    <i>
      <x v="4"/>
    </i>
    <i>
      <x v="5"/>
    </i>
    <i>
      <x v="6"/>
    </i>
    <i>
      <x v="7"/>
    </i>
    <i>
      <x v="8"/>
    </i>
    <i>
      <x v="9"/>
    </i>
    <i>
      <x v="10"/>
    </i>
    <i>
      <x v="11"/>
    </i>
  </rowItems>
  <colItems count="1">
    <i/>
  </colItems>
  <dataFields count="1">
    <dataField name="Count of First_Inquire_Date" fld="0" subtotal="count" baseField="0" baseItem="0"/>
  </dataFields>
  <formats count="9">
    <format dxfId="77">
      <pivotArea type="all" dataOnly="0" outline="0" fieldPosition="0"/>
    </format>
    <format dxfId="76">
      <pivotArea dataOnly="0" labelOnly="1" outline="0" axis="axisValues" fieldPosition="0"/>
    </format>
    <format dxfId="75">
      <pivotArea dataOnly="0" labelOnly="1" outline="0" axis="axisValues" fieldPosition="0"/>
    </format>
    <format dxfId="74">
      <pivotArea type="all" dataOnly="0" outline="0" fieldPosition="0"/>
    </format>
    <format dxfId="73">
      <pivotArea field="2" type="button" dataOnly="0" labelOnly="1" outline="0" axis="axisRow" fieldPosition="0"/>
    </format>
    <format dxfId="72">
      <pivotArea dataOnly="0" labelOnly="1" outline="0" axis="axisValues" fieldPosition="0"/>
    </format>
    <format dxfId="71">
      <pivotArea field="2" type="button" dataOnly="0" labelOnly="1" outline="0" axis="axisRow" fieldPosition="0"/>
    </format>
    <format dxfId="70">
      <pivotArea outline="0" collapsedLevelsAreSubtotals="1" fieldPosition="0"/>
    </format>
    <format dxfId="69">
      <pivotArea dataOnly="0" labelOnly="1" outline="0" fieldPosition="0">
        <references count="1">
          <reference field="2" count="0"/>
        </references>
      </pivotArea>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rollment_Data_2023_2026]"/>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BF06446-5F2C-4EE6-A56F-2FA90654B443}" sourceName="[Date].[Year]">
  <pivotTables>
    <pivotTable tabId="2" name="KPI"/>
    <pivotTable tabId="2" name="Day Series Analaysys"/>
    <pivotTable tabId="2" name="Month Series Analysis"/>
    <pivotTable tabId="2" name="Weektype"/>
    <pivotTable tabId="2" name="Channel"/>
    <pivotTable tabId="2" name="Student_Level"/>
    <pivotTable tabId="2" name="Status"/>
  </pivotTables>
  <data>
    <olap pivotCacheId="389055398">
      <levels count="2">
        <level uniqueName="[Date].[Year].[(All)]" sourceCaption="(All)" count="0"/>
        <level uniqueName="[Date].[Year].[Year]" sourceCaption="Year" count="4">
          <ranges>
            <range startItem="0">
              <i n="[Date].[Year].&amp;[2023]" c="2023"/>
              <i n="[Date].[Year].&amp;[2024]" c="2024"/>
              <i n="[Date].[Year].&amp;[2025]" c="2025"/>
              <i n="[Date].[Year].&amp;[2026]" c="2026"/>
            </range>
          </ranges>
        </level>
      </levels>
      <selections count="1">
        <selection n="[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E1E43BF-54F3-4A54-8AF8-310509C57404}" sourceName="[Date].[Month_name]">
  <pivotTables>
    <pivotTable tabId="2" name="KPI"/>
    <pivotTable tabId="2" name="Day Series Analaysys"/>
    <pivotTable tabId="2" name="Month Series Analysis"/>
    <pivotTable tabId="2" name="Weektype"/>
    <pivotTable tabId="2" name="Channel"/>
    <pivotTable tabId="2" name="Student_Level"/>
    <pivotTable tabId="2" name="Status"/>
  </pivotTables>
  <data>
    <olap pivotCacheId="389055398">
      <levels count="2">
        <level uniqueName="[Date].[Month_name].[(All)]" sourceCaption="(All)" count="0"/>
        <level uniqueName="[Date].[Month_name].[Month_name]" sourceCaption="Month_name" count="12">
          <ranges>
            <range startItem="0">
              <i n="[Date].[Month_name].&amp;[Jan]" c="Jan"/>
              <i n="[Date].[Month_name].&amp;[Feb]" c="Feb"/>
              <i n="[Date].[Month_name].&amp;[Mar]" c="Mar"/>
              <i n="[Date].[Month_name].&amp;[Apr]" c="Apr"/>
              <i n="[Date].[Month_name].&amp;[May]" c="May"/>
              <i n="[Date].[Month_name].&amp;[Jun]" c="Jun"/>
              <i n="[Date].[Month_name].&amp;[Jul]" c="Jul"/>
              <i n="[Date].[Month_name].&amp;[Aug]" c="Aug"/>
              <i n="[Date].[Month_name].&amp;[Sep]" c="Sep"/>
              <i n="[Date].[Month_name].&amp;[Oct]" c="Oct"/>
              <i n="[Date].[Month_name].&amp;[Nov]" c="Nov"/>
              <i n="[Date].[Month_name].&amp;[Dec]" c="Dec"/>
            </range>
          </ranges>
        </level>
      </levels>
      <selections count="1">
        <selection n="[Date].[Month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5222E818-DA92-46F6-A0FF-503F3D99E26B}" sourceName="[Date].[Day_name]">
  <pivotTables>
    <pivotTable tabId="2" name="KPI"/>
    <pivotTable tabId="2" name="Day Series Analaysys"/>
    <pivotTable tabId="2" name="Month Series Analysis"/>
    <pivotTable tabId="2" name="Weektype"/>
    <pivotTable tabId="2" name="Channel"/>
    <pivotTable tabId="2" name="Student_Level"/>
    <pivotTable tabId="2" name="Status"/>
  </pivotTables>
  <data>
    <olap pivotCacheId="389055398">
      <levels count="2">
        <level uniqueName="[Date].[Day_name].[(All)]" sourceCaption="(All)" count="0"/>
        <level uniqueName="[Date].[Day_name].[Day_name]" sourceCaption="Day_name" count="7">
          <ranges>
            <range startItem="0">
              <i n="[Date].[Day_name].&amp;[Sun]" c="Sun"/>
              <i n="[Date].[Day_name].&amp;[Mon]" c="Mon"/>
              <i n="[Date].[Day_name].&amp;[Tue]" c="Tue"/>
              <i n="[Date].[Day_name].&amp;[Wed]" c="Wed"/>
              <i n="[Date].[Day_name].&amp;[Thu]" c="Thu"/>
              <i n="[Date].[Day_name].&amp;[Fri]" c="Fri"/>
              <i n="[Date].[Day_name].&amp;[Sat]" c="Sat"/>
            </range>
          </ranges>
        </level>
      </levels>
      <selections count="1">
        <selection n="[Date].[Day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7BEA3CF-C99E-4805-A1A2-A64A4C74BC67}" cache="Slicer_Year" caption="Year" columnCount="4" showCaption="0" level="1" style="Date Slicer" rowHeight="234950"/>
  <slicer name="Month_name" xr10:uid="{3ED1126D-0ABC-4637-894C-753FDF9C0B25}" cache="Slicer_Month_name" caption="Month_name" columnCount="6" showCaption="0" level="1" style="Date Slicer" rowHeight="234950"/>
  <slicer name="Day_name" xr10:uid="{A3EE76A0-76EA-4280-A3CF-1D029BE2035A}" cache="Slicer_Day_name" caption="Day_name" columnCount="7" showCaption="0" level="1" style="Date Slic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C24CC-3BE1-42A1-8991-C20AEB538D1A}">
  <dimension ref="A1:Z38"/>
  <sheetViews>
    <sheetView showGridLines="0" showRowColHeaders="0" tabSelected="1" workbookViewId="0">
      <selection activeCell="H14" sqref="H14"/>
    </sheetView>
  </sheetViews>
  <sheetFormatPr defaultRowHeight="14.4" x14ac:dyDescent="0.3"/>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x14ac:dyDescent="0.3">
      <c r="A3" s="1"/>
      <c r="B3" s="1"/>
      <c r="C3" s="1"/>
      <c r="D3" s="1"/>
      <c r="E3" s="1"/>
      <c r="F3" s="1"/>
      <c r="G3" s="1"/>
      <c r="H3" s="1"/>
      <c r="I3" s="1"/>
      <c r="J3" s="1"/>
      <c r="K3" s="1"/>
      <c r="L3" s="1"/>
      <c r="M3" s="1"/>
      <c r="N3" s="1"/>
      <c r="O3" s="1"/>
      <c r="P3" s="1"/>
      <c r="Q3" s="1"/>
      <c r="R3" s="1"/>
      <c r="S3" s="1"/>
      <c r="T3" s="1"/>
      <c r="U3" s="1"/>
      <c r="V3" s="1"/>
      <c r="W3" s="1"/>
      <c r="X3" s="1"/>
      <c r="Y3" s="1"/>
      <c r="Z3" s="1"/>
    </row>
    <row r="4" spans="1:26" x14ac:dyDescent="0.3">
      <c r="A4" s="1"/>
      <c r="B4" s="1"/>
      <c r="C4" s="1"/>
      <c r="D4" s="1"/>
      <c r="E4" s="1"/>
      <c r="F4" s="1"/>
      <c r="G4" s="1"/>
      <c r="H4" s="1"/>
      <c r="I4" s="1"/>
      <c r="J4" s="1"/>
      <c r="K4" s="1"/>
      <c r="L4" s="1"/>
      <c r="M4" s="1"/>
      <c r="N4" s="1"/>
      <c r="O4" s="1"/>
      <c r="P4" s="1"/>
      <c r="Q4" s="1"/>
      <c r="R4" s="1"/>
      <c r="S4" s="1"/>
      <c r="T4" s="1"/>
      <c r="U4" s="1"/>
      <c r="V4" s="1"/>
      <c r="W4" s="1"/>
      <c r="X4" s="1"/>
      <c r="Y4" s="1"/>
      <c r="Z4" s="1"/>
    </row>
    <row r="5" spans="1:26" x14ac:dyDescent="0.3">
      <c r="A5" s="1"/>
      <c r="B5" s="1"/>
      <c r="C5" s="1"/>
      <c r="D5" s="1"/>
      <c r="E5" s="1"/>
      <c r="F5" s="1"/>
      <c r="G5" s="1"/>
      <c r="H5" s="1"/>
      <c r="I5" s="1"/>
      <c r="J5" s="1"/>
      <c r="K5" s="1"/>
      <c r="L5" s="1"/>
      <c r="M5" s="1"/>
      <c r="N5" s="1"/>
      <c r="O5" s="1"/>
      <c r="P5" s="1"/>
      <c r="Q5" s="1"/>
      <c r="R5" s="1"/>
      <c r="S5" s="1"/>
      <c r="T5" s="1"/>
      <c r="U5" s="1"/>
      <c r="V5" s="1"/>
      <c r="W5" s="1"/>
      <c r="X5" s="1"/>
      <c r="Y5" s="1"/>
      <c r="Z5" s="1"/>
    </row>
    <row r="6" spans="1:26" x14ac:dyDescent="0.3">
      <c r="A6" s="1"/>
      <c r="B6" s="1"/>
      <c r="C6" s="1"/>
      <c r="D6" s="1"/>
      <c r="E6" s="1"/>
      <c r="F6" s="1"/>
      <c r="G6" s="1"/>
      <c r="H6" s="1"/>
      <c r="I6" s="1"/>
      <c r="J6" s="1"/>
      <c r="K6" s="1"/>
      <c r="L6" s="1"/>
      <c r="M6" s="1"/>
      <c r="N6" s="1"/>
      <c r="O6" s="1"/>
      <c r="P6" s="1"/>
      <c r="Q6" s="1"/>
      <c r="R6" s="1"/>
      <c r="S6" s="1"/>
      <c r="T6" s="1"/>
      <c r="U6" s="1"/>
      <c r="V6" s="1"/>
      <c r="W6" s="1"/>
      <c r="X6" s="1"/>
      <c r="Y6" s="1"/>
      <c r="Z6" s="1"/>
    </row>
    <row r="7" spans="1:26" x14ac:dyDescent="0.3">
      <c r="A7" s="1"/>
      <c r="B7" s="1"/>
      <c r="C7" s="1"/>
      <c r="D7" s="1"/>
      <c r="E7" s="1"/>
      <c r="F7" s="1"/>
      <c r="G7" s="1"/>
      <c r="H7" s="1"/>
      <c r="I7" s="1"/>
      <c r="J7" s="1"/>
      <c r="K7" s="1"/>
      <c r="L7" s="1"/>
      <c r="M7" s="1"/>
      <c r="N7" s="1"/>
      <c r="O7" s="1"/>
      <c r="P7" s="1"/>
      <c r="Q7" s="1"/>
      <c r="R7" s="1"/>
      <c r="S7" s="1"/>
      <c r="T7" s="1"/>
      <c r="U7" s="1"/>
      <c r="V7" s="1"/>
      <c r="W7" s="1"/>
      <c r="X7" s="1"/>
      <c r="Y7" s="1"/>
      <c r="Z7" s="1"/>
    </row>
    <row r="8" spans="1:26" x14ac:dyDescent="0.3">
      <c r="A8" s="1"/>
      <c r="B8" s="1"/>
      <c r="C8" s="1"/>
      <c r="D8" s="1"/>
      <c r="E8" s="1"/>
      <c r="F8" s="1"/>
      <c r="G8" s="1"/>
      <c r="H8" s="1"/>
      <c r="I8" s="1"/>
      <c r="J8" s="1"/>
      <c r="K8" s="1"/>
      <c r="L8" s="1"/>
      <c r="M8" s="1"/>
      <c r="N8" s="1"/>
      <c r="O8" s="1"/>
      <c r="P8" s="1"/>
      <c r="Q8" s="1"/>
      <c r="R8" s="1"/>
      <c r="S8" s="1"/>
      <c r="T8" s="1"/>
      <c r="U8" s="1"/>
      <c r="V8" s="1"/>
      <c r="W8" s="1"/>
      <c r="X8" s="1"/>
      <c r="Y8" s="1"/>
      <c r="Z8" s="1"/>
    </row>
    <row r="9" spans="1:26" x14ac:dyDescent="0.3">
      <c r="A9" s="1"/>
      <c r="B9" s="1"/>
      <c r="C9" s="1"/>
      <c r="D9" s="1"/>
      <c r="E9" s="1"/>
      <c r="F9" s="1"/>
      <c r="G9" s="1"/>
      <c r="H9" s="1"/>
      <c r="I9" s="1"/>
      <c r="J9" s="1"/>
      <c r="K9" s="1"/>
      <c r="L9" s="1"/>
      <c r="M9" s="1"/>
      <c r="N9" s="1"/>
      <c r="O9" s="1"/>
      <c r="P9" s="1"/>
      <c r="Q9" s="1"/>
      <c r="R9" s="1"/>
      <c r="S9" s="1"/>
      <c r="T9" s="1"/>
      <c r="U9" s="1"/>
      <c r="V9" s="1"/>
      <c r="W9" s="1"/>
      <c r="X9" s="1"/>
      <c r="Y9" s="1"/>
      <c r="Z9" s="1"/>
    </row>
    <row r="10" spans="1:26"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D2F15-9175-4DBE-A432-84487E9FF777}">
  <dimension ref="B1:AX209"/>
  <sheetViews>
    <sheetView topLeftCell="AN1" workbookViewId="0">
      <selection activeCell="AO11" sqref="AO11"/>
    </sheetView>
  </sheetViews>
  <sheetFormatPr defaultRowHeight="14.4" x14ac:dyDescent="0.3"/>
  <cols>
    <col min="2" max="2" width="24.44140625" bestFit="1" customWidth="1"/>
    <col min="3" max="3" width="19.21875" bestFit="1" customWidth="1"/>
    <col min="4" max="4" width="20.77734375" bestFit="1" customWidth="1"/>
    <col min="5" max="5" width="24.77734375" bestFit="1" customWidth="1"/>
    <col min="6" max="6" width="26" bestFit="1" customWidth="1"/>
    <col min="7" max="7" width="27" bestFit="1" customWidth="1"/>
    <col min="8" max="8" width="22.21875" bestFit="1" customWidth="1"/>
    <col min="9" max="9" width="25.21875" bestFit="1" customWidth="1"/>
    <col min="10" max="10" width="21.109375" bestFit="1" customWidth="1"/>
    <col min="11" max="11" width="12.5546875" bestFit="1" customWidth="1"/>
    <col min="12" max="12" width="5" bestFit="1" customWidth="1"/>
    <col min="13" max="13" width="5.77734375" customWidth="1"/>
    <col min="14" max="14" width="5.77734375" style="1" customWidth="1"/>
    <col min="15" max="15" width="5.77734375" customWidth="1"/>
    <col min="16" max="16" width="15.5546875" bestFit="1" customWidth="1"/>
    <col min="17" max="17" width="12.21875" bestFit="1" customWidth="1"/>
    <col min="18" max="18" width="24.44140625" bestFit="1" customWidth="1"/>
    <col min="19" max="19" width="5" bestFit="1" customWidth="1"/>
    <col min="20" max="20" width="14.77734375" bestFit="1" customWidth="1"/>
    <col min="21" max="21" width="24.44140625" bestFit="1" customWidth="1"/>
    <col min="22" max="22" width="21.77734375" bestFit="1" customWidth="1"/>
    <col min="23" max="23" width="5.77734375" customWidth="1"/>
    <col min="24" max="24" width="5.77734375" style="1" customWidth="1"/>
    <col min="25" max="25" width="5.77734375" customWidth="1"/>
    <col min="26" max="26" width="15.5546875" bestFit="1" customWidth="1"/>
    <col min="27" max="27" width="11.77734375" bestFit="1" customWidth="1"/>
    <col min="28" max="28" width="13.88671875" bestFit="1" customWidth="1"/>
    <col min="29" max="29" width="5.21875" customWidth="1"/>
    <col min="30" max="30" width="5.77734375" customWidth="1"/>
    <col min="31" max="31" width="5.77734375" style="1" customWidth="1"/>
    <col min="32" max="32" width="5.77734375" customWidth="1"/>
    <col min="33" max="33" width="15.5546875" bestFit="1" customWidth="1"/>
    <col min="34" max="34" width="10.6640625" bestFit="1" customWidth="1"/>
    <col min="35" max="35" width="13.88671875" bestFit="1" customWidth="1"/>
    <col min="36" max="36" width="12.5546875" bestFit="1" customWidth="1"/>
    <col min="37" max="37" width="4.33203125" bestFit="1" customWidth="1"/>
    <col min="38" max="38" width="5.77734375" customWidth="1"/>
    <col min="39" max="39" width="5.77734375" style="1" customWidth="1"/>
    <col min="40" max="40" width="5.77734375" customWidth="1"/>
    <col min="41" max="41" width="15.5546875" bestFit="1" customWidth="1"/>
    <col min="42" max="42" width="15.33203125" bestFit="1" customWidth="1"/>
    <col min="43" max="43" width="13.88671875" bestFit="1" customWidth="1"/>
    <col min="44" max="44" width="12.5546875" bestFit="1" customWidth="1"/>
    <col min="45" max="45" width="5.77734375" customWidth="1"/>
    <col min="46" max="46" width="5.77734375" style="1" customWidth="1"/>
    <col min="47" max="47" width="5.77734375" customWidth="1"/>
    <col min="48" max="48" width="15.5546875" bestFit="1" customWidth="1"/>
    <col min="49" max="49" width="8.44140625" bestFit="1" customWidth="1"/>
    <col min="50" max="51" width="13.88671875" bestFit="1" customWidth="1"/>
    <col min="52" max="590" width="29.77734375" bestFit="1" customWidth="1"/>
    <col min="591" max="599" width="9.77734375" bestFit="1" customWidth="1"/>
    <col min="600" max="612" width="10.77734375" bestFit="1" customWidth="1"/>
    <col min="613" max="618" width="9.77734375" bestFit="1" customWidth="1"/>
    <col min="619" max="631" width="10.77734375" bestFit="1" customWidth="1"/>
    <col min="632" max="634" width="9.77734375" bestFit="1" customWidth="1"/>
    <col min="635" max="646" width="10.77734375" bestFit="1" customWidth="1"/>
    <col min="647" max="651" width="8.77734375" bestFit="1" customWidth="1"/>
    <col min="652" max="662" width="9.77734375" bestFit="1" customWidth="1"/>
    <col min="663" max="667" width="8.77734375" bestFit="1" customWidth="1"/>
    <col min="668" max="674" width="9.77734375" bestFit="1" customWidth="1"/>
    <col min="675" max="682" width="8.77734375" bestFit="1" customWidth="1"/>
    <col min="683" max="696" width="9.77734375" bestFit="1" customWidth="1"/>
    <col min="697" max="701" width="8.77734375" bestFit="1" customWidth="1"/>
    <col min="702" max="717" width="9.77734375" bestFit="1" customWidth="1"/>
    <col min="718" max="724" width="8.77734375" bestFit="1" customWidth="1"/>
    <col min="725" max="736" width="9.77734375" bestFit="1" customWidth="1"/>
    <col min="737" max="739" width="8.77734375" bestFit="1" customWidth="1"/>
    <col min="740" max="749" width="9.77734375" bestFit="1" customWidth="1"/>
    <col min="750" max="754" width="8.77734375" bestFit="1" customWidth="1"/>
    <col min="755" max="764" width="9.77734375" bestFit="1" customWidth="1"/>
    <col min="765" max="770" width="8.77734375" bestFit="1" customWidth="1"/>
    <col min="771" max="780" width="9.77734375" bestFit="1" customWidth="1"/>
    <col min="781" max="787" width="8.77734375" bestFit="1" customWidth="1"/>
    <col min="788" max="802" width="9.77734375" bestFit="1" customWidth="1"/>
    <col min="803" max="816" width="10.77734375" bestFit="1" customWidth="1"/>
    <col min="817" max="822" width="9.77734375" bestFit="1" customWidth="1"/>
    <col min="823" max="837" width="10.77734375" bestFit="1" customWidth="1"/>
    <col min="838" max="842" width="9.77734375" bestFit="1" customWidth="1"/>
    <col min="843" max="852" width="10.77734375" bestFit="1" customWidth="1"/>
  </cols>
  <sheetData>
    <row r="1" spans="2:50" ht="15" thickBot="1" x14ac:dyDescent="0.35"/>
    <row r="2" spans="2:50" ht="15" thickBot="1" x14ac:dyDescent="0.35">
      <c r="B2" s="3" t="s">
        <v>15</v>
      </c>
      <c r="Q2" s="3" t="s">
        <v>24</v>
      </c>
      <c r="T2" s="3" t="s">
        <v>26</v>
      </c>
      <c r="AA2" s="3" t="s">
        <v>34</v>
      </c>
      <c r="AH2" s="3" t="s">
        <v>38</v>
      </c>
      <c r="AP2" s="3" t="s">
        <v>45</v>
      </c>
      <c r="AW2" s="3" t="s">
        <v>59</v>
      </c>
    </row>
    <row r="3" spans="2:50" ht="15" thickBot="1" x14ac:dyDescent="0.35"/>
    <row r="4" spans="2:50" ht="15" thickBot="1" x14ac:dyDescent="0.35">
      <c r="B4" s="11" t="s">
        <v>14</v>
      </c>
      <c r="C4" s="12" t="s">
        <v>12</v>
      </c>
      <c r="D4" s="13" t="s">
        <v>13</v>
      </c>
      <c r="E4" s="8" t="s">
        <v>27</v>
      </c>
      <c r="F4" s="8" t="s">
        <v>29</v>
      </c>
      <c r="G4" s="8" t="s">
        <v>28</v>
      </c>
      <c r="H4" s="8" t="s">
        <v>33</v>
      </c>
      <c r="I4" s="8" t="s">
        <v>30</v>
      </c>
      <c r="J4" s="8" t="s">
        <v>31</v>
      </c>
      <c r="K4" s="9" t="s">
        <v>32</v>
      </c>
      <c r="Q4" s="3" t="s">
        <v>23</v>
      </c>
      <c r="R4" s="3" t="s">
        <v>14</v>
      </c>
      <c r="T4" s="3" t="s">
        <v>25</v>
      </c>
      <c r="U4" s="3" t="s">
        <v>14</v>
      </c>
      <c r="AA4" s="14" t="s">
        <v>34</v>
      </c>
      <c r="AB4" s="3" t="s">
        <v>37</v>
      </c>
      <c r="AH4" s="22" t="s">
        <v>38</v>
      </c>
      <c r="AI4" s="35" t="s">
        <v>37</v>
      </c>
      <c r="AJ4" s="36" t="s">
        <v>32</v>
      </c>
      <c r="AP4" s="22" t="s">
        <v>45</v>
      </c>
      <c r="AQ4" s="35" t="s">
        <v>37</v>
      </c>
      <c r="AR4" s="36" t="s">
        <v>32</v>
      </c>
      <c r="AW4" s="22" t="s">
        <v>59</v>
      </c>
      <c r="AX4" s="3" t="s">
        <v>37</v>
      </c>
    </row>
    <row r="5" spans="2:50" ht="15" thickBot="1" x14ac:dyDescent="0.35">
      <c r="B5" s="32">
        <v>1200</v>
      </c>
      <c r="C5" s="33">
        <v>737</v>
      </c>
      <c r="D5" s="33">
        <v>425</v>
      </c>
      <c r="E5" s="21">
        <v>4.0634920634920633</v>
      </c>
      <c r="F5" s="21">
        <v>7.3482352941176474</v>
      </c>
      <c r="G5" s="21">
        <v>10.755294117647059</v>
      </c>
      <c r="H5" s="21">
        <v>126</v>
      </c>
      <c r="I5" s="21">
        <v>212</v>
      </c>
      <c r="J5" s="21">
        <v>87</v>
      </c>
      <c r="K5" s="20">
        <v>425</v>
      </c>
      <c r="Q5" s="16" t="s">
        <v>16</v>
      </c>
      <c r="R5" s="29">
        <v>171</v>
      </c>
      <c r="T5" s="4" t="s">
        <v>0</v>
      </c>
      <c r="U5" s="34">
        <v>111</v>
      </c>
      <c r="AA5" s="15" t="s">
        <v>35</v>
      </c>
      <c r="AB5" s="29">
        <v>850</v>
      </c>
      <c r="AH5" s="15" t="s">
        <v>40</v>
      </c>
      <c r="AI5" s="25">
        <v>204</v>
      </c>
      <c r="AJ5" s="26">
        <v>75</v>
      </c>
      <c r="AP5" s="15" t="s">
        <v>57</v>
      </c>
      <c r="AQ5" s="25">
        <v>89</v>
      </c>
      <c r="AR5" s="26">
        <v>34</v>
      </c>
      <c r="AW5" s="15" t="s">
        <v>62</v>
      </c>
      <c r="AX5" s="29">
        <v>463</v>
      </c>
    </row>
    <row r="6" spans="2:50" ht="15" thickBot="1" x14ac:dyDescent="0.35">
      <c r="B6" s="5"/>
      <c r="C6" s="6">
        <f>C5/B5</f>
        <v>0.61416666666666664</v>
      </c>
      <c r="D6" s="7">
        <f>D5/B5</f>
        <v>0.35416666666666669</v>
      </c>
      <c r="H6" s="2">
        <f>H5/$K$5</f>
        <v>0.2964705882352941</v>
      </c>
      <c r="I6" s="2">
        <f>I5/$K$5</f>
        <v>0.49882352941176472</v>
      </c>
      <c r="J6" s="2">
        <f>J5/$K$5</f>
        <v>0.20470588235294118</v>
      </c>
      <c r="Q6" s="17" t="s">
        <v>17</v>
      </c>
      <c r="R6" s="30">
        <v>183</v>
      </c>
      <c r="T6" s="4" t="s">
        <v>1</v>
      </c>
      <c r="U6" s="34">
        <v>104</v>
      </c>
      <c r="AA6" s="10" t="s">
        <v>36</v>
      </c>
      <c r="AB6" s="31">
        <v>350</v>
      </c>
      <c r="AH6" s="15" t="s">
        <v>41</v>
      </c>
      <c r="AI6" s="27">
        <v>186</v>
      </c>
      <c r="AJ6" s="23">
        <v>75</v>
      </c>
      <c r="AP6" s="15" t="s">
        <v>58</v>
      </c>
      <c r="AQ6" s="27">
        <v>97</v>
      </c>
      <c r="AR6" s="23">
        <v>33</v>
      </c>
      <c r="AW6" s="15" t="s">
        <v>61</v>
      </c>
      <c r="AX6" s="30">
        <v>312</v>
      </c>
    </row>
    <row r="7" spans="2:50" ht="15" thickBot="1" x14ac:dyDescent="0.35">
      <c r="Q7" s="17" t="s">
        <v>18</v>
      </c>
      <c r="R7" s="30">
        <v>157</v>
      </c>
      <c r="T7" s="4" t="s">
        <v>2</v>
      </c>
      <c r="U7" s="34">
        <v>105</v>
      </c>
      <c r="AH7" s="15" t="s">
        <v>42</v>
      </c>
      <c r="AI7" s="27">
        <v>204</v>
      </c>
      <c r="AJ7" s="23">
        <v>67</v>
      </c>
      <c r="AP7" s="15" t="s">
        <v>46</v>
      </c>
      <c r="AQ7" s="27">
        <v>76</v>
      </c>
      <c r="AR7" s="23">
        <v>22</v>
      </c>
      <c r="AW7" s="10" t="s">
        <v>60</v>
      </c>
      <c r="AX7" s="31">
        <v>425</v>
      </c>
    </row>
    <row r="8" spans="2:50" x14ac:dyDescent="0.3">
      <c r="H8" s="19"/>
      <c r="Q8" s="17" t="s">
        <v>19</v>
      </c>
      <c r="R8" s="30">
        <v>161</v>
      </c>
      <c r="T8" s="4" t="s">
        <v>3</v>
      </c>
      <c r="U8" s="34">
        <v>112</v>
      </c>
      <c r="AH8" s="15" t="s">
        <v>44</v>
      </c>
      <c r="AI8" s="27">
        <v>217</v>
      </c>
      <c r="AJ8" s="23">
        <v>72</v>
      </c>
      <c r="AP8" s="15" t="s">
        <v>47</v>
      </c>
      <c r="AQ8" s="27">
        <v>86</v>
      </c>
      <c r="AR8" s="23">
        <v>32</v>
      </c>
    </row>
    <row r="9" spans="2:50" x14ac:dyDescent="0.3">
      <c r="Q9" s="17" t="s">
        <v>20</v>
      </c>
      <c r="R9" s="30">
        <v>182</v>
      </c>
      <c r="T9" s="4" t="s">
        <v>4</v>
      </c>
      <c r="U9" s="34">
        <v>88</v>
      </c>
      <c r="AH9" s="15" t="s">
        <v>39</v>
      </c>
      <c r="AI9" s="27">
        <v>205</v>
      </c>
      <c r="AJ9" s="23">
        <v>67</v>
      </c>
      <c r="AP9" s="15" t="s">
        <v>48</v>
      </c>
      <c r="AQ9" s="27">
        <v>90</v>
      </c>
      <c r="AR9" s="23">
        <v>34</v>
      </c>
    </row>
    <row r="10" spans="2:50" ht="15" thickBot="1" x14ac:dyDescent="0.35">
      <c r="Q10" s="17" t="s">
        <v>21</v>
      </c>
      <c r="R10" s="30">
        <v>167</v>
      </c>
      <c r="T10" s="4" t="s">
        <v>5</v>
      </c>
      <c r="U10" s="34">
        <v>87</v>
      </c>
      <c r="AH10" s="10" t="s">
        <v>43</v>
      </c>
      <c r="AI10" s="28">
        <v>184</v>
      </c>
      <c r="AJ10" s="24">
        <v>69</v>
      </c>
      <c r="AP10" s="15" t="s">
        <v>49</v>
      </c>
      <c r="AQ10" s="27">
        <v>99</v>
      </c>
      <c r="AR10" s="23">
        <v>32</v>
      </c>
    </row>
    <row r="11" spans="2:50" ht="15" thickBot="1" x14ac:dyDescent="0.35">
      <c r="Q11" s="18" t="s">
        <v>22</v>
      </c>
      <c r="R11" s="31">
        <v>179</v>
      </c>
      <c r="T11" s="4" t="s">
        <v>6</v>
      </c>
      <c r="U11" s="34">
        <v>101</v>
      </c>
      <c r="AP11" s="15" t="s">
        <v>50</v>
      </c>
      <c r="AQ11" s="27">
        <v>80</v>
      </c>
      <c r="AR11" s="23">
        <v>34</v>
      </c>
    </row>
    <row r="12" spans="2:50" x14ac:dyDescent="0.3">
      <c r="T12" s="4" t="s">
        <v>7</v>
      </c>
      <c r="U12" s="34">
        <v>93</v>
      </c>
      <c r="AP12" s="15" t="s">
        <v>51</v>
      </c>
      <c r="AQ12" s="27">
        <v>95</v>
      </c>
      <c r="AR12" s="23">
        <v>34</v>
      </c>
    </row>
    <row r="13" spans="2:50" x14ac:dyDescent="0.3">
      <c r="T13" s="4" t="s">
        <v>8</v>
      </c>
      <c r="U13" s="34">
        <v>90</v>
      </c>
      <c r="AP13" s="15" t="s">
        <v>52</v>
      </c>
      <c r="AQ13" s="27">
        <v>95</v>
      </c>
      <c r="AR13" s="23">
        <v>27</v>
      </c>
    </row>
    <row r="14" spans="2:50" x14ac:dyDescent="0.3">
      <c r="T14" s="4" t="s">
        <v>9</v>
      </c>
      <c r="U14" s="34">
        <v>108</v>
      </c>
      <c r="AP14" s="15" t="s">
        <v>53</v>
      </c>
      <c r="AQ14" s="27">
        <v>109</v>
      </c>
      <c r="AR14" s="23">
        <v>44</v>
      </c>
    </row>
    <row r="15" spans="2:50" x14ac:dyDescent="0.3">
      <c r="T15" s="4" t="s">
        <v>10</v>
      </c>
      <c r="U15" s="34">
        <v>110</v>
      </c>
      <c r="AP15" s="15" t="s">
        <v>54</v>
      </c>
      <c r="AQ15" s="27">
        <v>98</v>
      </c>
      <c r="AR15" s="23">
        <v>37</v>
      </c>
    </row>
    <row r="16" spans="2:50" x14ac:dyDescent="0.3">
      <c r="T16" s="4" t="s">
        <v>11</v>
      </c>
      <c r="U16" s="34">
        <v>91</v>
      </c>
      <c r="AP16" s="15" t="s">
        <v>55</v>
      </c>
      <c r="AQ16" s="27">
        <v>87</v>
      </c>
      <c r="AR16" s="23">
        <v>23</v>
      </c>
    </row>
    <row r="17" spans="42:44" ht="15" thickBot="1" x14ac:dyDescent="0.35">
      <c r="AP17" s="10" t="s">
        <v>56</v>
      </c>
      <c r="AQ17" s="28">
        <v>99</v>
      </c>
      <c r="AR17" s="24">
        <v>39</v>
      </c>
    </row>
    <row r="209" ht="15" thickBot="1"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8990FA34-50AE-4FB3-A325-C543FCFA2996}">
  <ds:schemaRefs/>
</ds:datastoreItem>
</file>

<file path=customXml/itemProps2.xml><?xml version="1.0" encoding="utf-8"?>
<ds:datastoreItem xmlns:ds="http://schemas.openxmlformats.org/officeDocument/2006/customXml" ds:itemID="{9FFB7040-D58B-4212-9751-C4C95B4CB68E}">
  <ds:schemaRefs/>
</ds:datastoreItem>
</file>

<file path=customXml/itemProps3.xml><?xml version="1.0" encoding="utf-8"?>
<ds:datastoreItem xmlns:ds="http://schemas.openxmlformats.org/officeDocument/2006/customXml" ds:itemID="{45917CAF-CF98-4D33-BB4F-A7ADF7D325D6}">
  <ds:schemaRefs>
    <ds:schemaRef ds:uri="http://schemas.microsoft.com/DataMashup"/>
  </ds:schemaRefs>
</ds:datastoreItem>
</file>

<file path=customXml/itemProps4.xml><?xml version="1.0" encoding="utf-8"?>
<ds:datastoreItem xmlns:ds="http://schemas.openxmlformats.org/officeDocument/2006/customXml" ds:itemID="{82146DC5-3275-403F-9D2C-FD0DD5DD6A94}">
  <ds:schemaRefs/>
</ds:datastoreItem>
</file>

<file path=customXml/itemProps5.xml><?xml version="1.0" encoding="utf-8"?>
<ds:datastoreItem xmlns:ds="http://schemas.openxmlformats.org/officeDocument/2006/customXml" ds:itemID="{15993E28-20DF-48F3-8AEE-7EC7E74EF85A}">
  <ds:schemaRefs/>
</ds:datastoreItem>
</file>

<file path=customXml/itemProps6.xml><?xml version="1.0" encoding="utf-8"?>
<ds:datastoreItem xmlns:ds="http://schemas.openxmlformats.org/officeDocument/2006/customXml" ds:itemID="{C8975042-AAA9-4023-9C4F-B84FEC4BEAF6}">
  <ds:schemaRefs/>
</ds:datastoreItem>
</file>

<file path=customXml/itemProps7.xml><?xml version="1.0" encoding="utf-8"?>
<ds:datastoreItem xmlns:ds="http://schemas.openxmlformats.org/officeDocument/2006/customXml" ds:itemID="{DA2EFD11-4233-4D8A-A020-CDB9FE36F6F0}">
  <ds:schemaRefs/>
</ds:datastoreItem>
</file>

<file path=customXml/itemProps8.xml><?xml version="1.0" encoding="utf-8"?>
<ds:datastoreItem xmlns:ds="http://schemas.openxmlformats.org/officeDocument/2006/customXml" ds:itemID="{4A83AC2D-F113-4F62-B086-7BFC6B8B3E59}">
  <ds:schemaRefs/>
</ds:datastoreItem>
</file>

<file path=customXml/itemProps9.xml><?xml version="1.0" encoding="utf-8"?>
<ds:datastoreItem xmlns:ds="http://schemas.openxmlformats.org/officeDocument/2006/customXml" ds:itemID="{1BF84379-D091-4297-94CF-6F08912D601D}">
  <ds:schemaRefs/>
</ds:datastoreItem>
</file>

<file path=customXml/itemProps10.xml><?xml version="1.0" encoding="utf-8"?>
<ds:datastoreItem xmlns:ds="http://schemas.openxmlformats.org/officeDocument/2006/customXml" ds:itemID="{675DF6F1-65A1-4859-9CEA-979EB7291015}">
  <ds:schemaRefs/>
</ds:datastoreItem>
</file>

<file path=customXml/itemProps11.xml><?xml version="1.0" encoding="utf-8"?>
<ds:datastoreItem xmlns:ds="http://schemas.openxmlformats.org/officeDocument/2006/customXml" ds:itemID="{6A980A8E-E078-48F0-A386-B888DDEDB0EF}">
  <ds:schemaRefs/>
</ds:datastoreItem>
</file>

<file path=customXml/itemProps12.xml><?xml version="1.0" encoding="utf-8"?>
<ds:datastoreItem xmlns:ds="http://schemas.openxmlformats.org/officeDocument/2006/customXml" ds:itemID="{54555865-72F5-4572-A440-64B045429B9A}">
  <ds:schemaRefs/>
</ds:datastoreItem>
</file>

<file path=customXml/itemProps13.xml><?xml version="1.0" encoding="utf-8"?>
<ds:datastoreItem xmlns:ds="http://schemas.openxmlformats.org/officeDocument/2006/customXml" ds:itemID="{DCF82834-9A3C-42C7-89F5-738AC93F08D6}">
  <ds:schemaRefs/>
</ds:datastoreItem>
</file>

<file path=customXml/itemProps14.xml><?xml version="1.0" encoding="utf-8"?>
<ds:datastoreItem xmlns:ds="http://schemas.openxmlformats.org/officeDocument/2006/customXml" ds:itemID="{DD958770-4BAA-43A7-A629-24B19E5CA233}">
  <ds:schemaRefs/>
</ds:datastoreItem>
</file>

<file path=customXml/itemProps15.xml><?xml version="1.0" encoding="utf-8"?>
<ds:datastoreItem xmlns:ds="http://schemas.openxmlformats.org/officeDocument/2006/customXml" ds:itemID="{97577F49-E3E8-4F28-9629-60626A19E4E7}">
  <ds:schemaRefs/>
</ds:datastoreItem>
</file>

<file path=customXml/itemProps16.xml><?xml version="1.0" encoding="utf-8"?>
<ds:datastoreItem xmlns:ds="http://schemas.openxmlformats.org/officeDocument/2006/customXml" ds:itemID="{F19C7A37-E2FD-43E9-978E-D3A66F7E031E}">
  <ds:schemaRefs/>
</ds:datastoreItem>
</file>

<file path=customXml/itemProps17.xml><?xml version="1.0" encoding="utf-8"?>
<ds:datastoreItem xmlns:ds="http://schemas.openxmlformats.org/officeDocument/2006/customXml" ds:itemID="{50DBDF57-54EC-4937-A51D-71C833D62619}">
  <ds:schemaRefs/>
</ds:datastoreItem>
</file>

<file path=customXml/itemProps18.xml><?xml version="1.0" encoding="utf-8"?>
<ds:datastoreItem xmlns:ds="http://schemas.openxmlformats.org/officeDocument/2006/customXml" ds:itemID="{1821D65D-09B9-4A4E-A62E-2F44F5FAF376}">
  <ds:schemaRefs/>
</ds:datastoreItem>
</file>

<file path=customXml/itemProps19.xml><?xml version="1.0" encoding="utf-8"?>
<ds:datastoreItem xmlns:ds="http://schemas.openxmlformats.org/officeDocument/2006/customXml" ds:itemID="{4D79EC2D-F8D5-4482-A8EA-CEB8252690BF}">
  <ds:schemaRefs/>
</ds:datastoreItem>
</file>

<file path=customXml/itemProps20.xml><?xml version="1.0" encoding="utf-8"?>
<ds:datastoreItem xmlns:ds="http://schemas.openxmlformats.org/officeDocument/2006/customXml" ds:itemID="{1CB96F0A-6354-4104-BD89-10C9567158C9}">
  <ds:schemaRefs/>
</ds:datastoreItem>
</file>

<file path=customXml/itemProps21.xml><?xml version="1.0" encoding="utf-8"?>
<ds:datastoreItem xmlns:ds="http://schemas.openxmlformats.org/officeDocument/2006/customXml" ds:itemID="{2A7A2A34-CFCB-4F41-A5C1-8C3F37E7EE30}">
  <ds:schemaRefs/>
</ds:datastoreItem>
</file>

<file path=customXml/itemProps22.xml><?xml version="1.0" encoding="utf-8"?>
<ds:datastoreItem xmlns:ds="http://schemas.openxmlformats.org/officeDocument/2006/customXml" ds:itemID="{5190172F-A103-4920-8F68-1968F588205C}">
  <ds:schemaRefs/>
</ds:datastoreItem>
</file>

<file path=customXml/itemProps23.xml><?xml version="1.0" encoding="utf-8"?>
<ds:datastoreItem xmlns:ds="http://schemas.openxmlformats.org/officeDocument/2006/customXml" ds:itemID="{A3CE8693-2243-446C-B5BA-D5507F21F9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lloyd lamonte</dc:creator>
  <cp:lastModifiedBy>christian lloyd lamonte</cp:lastModifiedBy>
  <dcterms:created xsi:type="dcterms:W3CDTF">2026-01-02T13:36:12Z</dcterms:created>
  <dcterms:modified xsi:type="dcterms:W3CDTF">2026-01-08T14:43:55Z</dcterms:modified>
</cp:coreProperties>
</file>